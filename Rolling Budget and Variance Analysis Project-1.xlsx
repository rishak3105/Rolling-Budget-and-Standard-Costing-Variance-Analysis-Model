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9E4B5F06F3938B/"/>
    </mc:Choice>
  </mc:AlternateContent>
  <xr:revisionPtr revIDLastSave="103" documentId="8_{7E4788FD-EDBC-4FD2-9DEE-2188004F7BF3}" xr6:coauthVersionLast="47" xr6:coauthVersionMax="47" xr10:uidLastSave="{E3D22CB7-368C-4A98-9A05-BAE7F74E5A57}"/>
  <bookViews>
    <workbookView xWindow="-110" yWindow="-110" windowWidth="19420" windowHeight="11500" firstSheet="2" activeTab="5" xr2:uid="{2E0213FE-26F6-4FF8-920A-171BF9BEF398}"/>
  </bookViews>
  <sheets>
    <sheet name="Assumptions" sheetId="2" r:id="rId1"/>
    <sheet name="Rolling Budget" sheetId="3" r:id="rId2"/>
    <sheet name="Actuals &amp; Forecast" sheetId="4" r:id="rId3"/>
    <sheet name="Sales Variances" sheetId="5" r:id="rId4"/>
    <sheet name="Overhead Variances" sheetId="6" r:id="rId5"/>
    <sheet name="Dashboard" sheetId="7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N14" i="5"/>
  <c r="D14" i="5"/>
  <c r="E14" i="5"/>
  <c r="F14" i="5"/>
  <c r="G14" i="5"/>
  <c r="H14" i="5"/>
  <c r="I14" i="5"/>
  <c r="J14" i="5"/>
  <c r="K14" i="5"/>
  <c r="L14" i="5"/>
  <c r="M14" i="5"/>
  <c r="C14" i="5"/>
  <c r="C16" i="5"/>
  <c r="C15" i="2"/>
  <c r="C59" i="6"/>
  <c r="C25" i="6"/>
  <c r="C24" i="6"/>
  <c r="C39" i="6"/>
  <c r="N9" i="4"/>
  <c r="N33" i="5" s="1"/>
  <c r="M9" i="4"/>
  <c r="L9" i="4"/>
  <c r="K9" i="4"/>
  <c r="J9" i="4"/>
  <c r="N8" i="4"/>
  <c r="M8" i="4"/>
  <c r="L8" i="4"/>
  <c r="K8" i="4"/>
  <c r="J8" i="4"/>
  <c r="N7" i="4"/>
  <c r="M7" i="4"/>
  <c r="L7" i="4"/>
  <c r="K7" i="4"/>
  <c r="J7" i="4"/>
  <c r="I7" i="4"/>
  <c r="O7" i="4" s="1"/>
  <c r="J33" i="5"/>
  <c r="K33" i="5"/>
  <c r="L33" i="5"/>
  <c r="M33" i="5"/>
  <c r="J20" i="5"/>
  <c r="K20" i="5"/>
  <c r="L20" i="5"/>
  <c r="M20" i="5"/>
  <c r="N20" i="5"/>
  <c r="O8" i="4"/>
  <c r="O9" i="4"/>
  <c r="I9" i="4"/>
  <c r="I33" i="5" s="1"/>
  <c r="I8" i="4"/>
  <c r="I20" i="5" s="1"/>
  <c r="C36" i="6"/>
  <c r="C30" i="6"/>
  <c r="E44" i="4"/>
  <c r="C10" i="2"/>
  <c r="C42" i="7"/>
  <c r="D42" i="7" s="1"/>
  <c r="E42" i="7" s="1"/>
  <c r="F42" i="7" s="1"/>
  <c r="G42" i="7" s="1"/>
  <c r="H42" i="7" s="1"/>
  <c r="I42" i="7" s="1"/>
  <c r="J42" i="7" s="1"/>
  <c r="K42" i="7" s="1"/>
  <c r="L42" i="7" s="1"/>
  <c r="M42" i="7" s="1"/>
  <c r="N42" i="7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C3" i="4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C20" i="2"/>
  <c r="D20" i="2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C8" i="3"/>
  <c r="C21" i="5" s="1"/>
  <c r="D7" i="3"/>
  <c r="E7" i="3"/>
  <c r="F7" i="3"/>
  <c r="G7" i="3"/>
  <c r="H7" i="3"/>
  <c r="I7" i="3"/>
  <c r="J7" i="3"/>
  <c r="K7" i="3"/>
  <c r="L7" i="3"/>
  <c r="M7" i="3"/>
  <c r="N7" i="3"/>
  <c r="C7" i="3"/>
  <c r="H15" i="6"/>
  <c r="G15" i="6"/>
  <c r="F15" i="6"/>
  <c r="E15" i="6"/>
  <c r="D15" i="6"/>
  <c r="H14" i="6"/>
  <c r="H16" i="6" s="1"/>
  <c r="G14" i="6"/>
  <c r="G16" i="6" s="1"/>
  <c r="F14" i="6"/>
  <c r="E14" i="6"/>
  <c r="D14" i="6"/>
  <c r="H8" i="6"/>
  <c r="G8" i="6"/>
  <c r="F8" i="6"/>
  <c r="E8" i="6"/>
  <c r="D8" i="6"/>
  <c r="C15" i="6"/>
  <c r="C14" i="6"/>
  <c r="C16" i="6" s="1"/>
  <c r="C8" i="6"/>
  <c r="O37" i="5"/>
  <c r="O24" i="5"/>
  <c r="O11" i="5"/>
  <c r="N37" i="5"/>
  <c r="M37" i="5"/>
  <c r="L37" i="5"/>
  <c r="K37" i="5"/>
  <c r="J37" i="5"/>
  <c r="I37" i="5"/>
  <c r="H37" i="5"/>
  <c r="G37" i="5"/>
  <c r="F37" i="5"/>
  <c r="E37" i="5"/>
  <c r="D37" i="5"/>
  <c r="H36" i="5"/>
  <c r="G36" i="5"/>
  <c r="F36" i="5"/>
  <c r="E36" i="5"/>
  <c r="D36" i="5"/>
  <c r="H33" i="5"/>
  <c r="G33" i="5"/>
  <c r="F33" i="5"/>
  <c r="E33" i="5"/>
  <c r="D33" i="5"/>
  <c r="N24" i="5"/>
  <c r="M24" i="5"/>
  <c r="L24" i="5"/>
  <c r="K24" i="5"/>
  <c r="J24" i="5"/>
  <c r="I24" i="5"/>
  <c r="H24" i="5"/>
  <c r="G24" i="5"/>
  <c r="F24" i="5"/>
  <c r="E24" i="5"/>
  <c r="D24" i="5"/>
  <c r="H23" i="5"/>
  <c r="G23" i="5"/>
  <c r="F23" i="5"/>
  <c r="E23" i="5"/>
  <c r="D23" i="5"/>
  <c r="H20" i="5"/>
  <c r="G20" i="5"/>
  <c r="F20" i="5"/>
  <c r="E20" i="5"/>
  <c r="D20" i="5"/>
  <c r="N11" i="5"/>
  <c r="M11" i="5"/>
  <c r="L11" i="5"/>
  <c r="K11" i="5"/>
  <c r="J11" i="5"/>
  <c r="I11" i="5"/>
  <c r="H11" i="5"/>
  <c r="G11" i="5"/>
  <c r="F11" i="5"/>
  <c r="E11" i="5"/>
  <c r="D11" i="5"/>
  <c r="H10" i="5"/>
  <c r="G10" i="5"/>
  <c r="F10" i="5"/>
  <c r="E10" i="5"/>
  <c r="D10" i="5"/>
  <c r="H7" i="5"/>
  <c r="G7" i="5"/>
  <c r="F7" i="5"/>
  <c r="E7" i="5"/>
  <c r="D7" i="5"/>
  <c r="C37" i="5"/>
  <c r="C36" i="5"/>
  <c r="C33" i="5"/>
  <c r="C24" i="5"/>
  <c r="C23" i="5"/>
  <c r="C20" i="5"/>
  <c r="C11" i="5"/>
  <c r="C10" i="5"/>
  <c r="C7" i="5"/>
  <c r="H44" i="4"/>
  <c r="H20" i="6" s="1"/>
  <c r="G44" i="4"/>
  <c r="G20" i="6" s="1"/>
  <c r="F44" i="4"/>
  <c r="F20" i="6" s="1"/>
  <c r="E20" i="6"/>
  <c r="D44" i="4"/>
  <c r="D20" i="6" s="1"/>
  <c r="H40" i="4"/>
  <c r="H43" i="6" s="1"/>
  <c r="G40" i="4"/>
  <c r="G43" i="6" s="1"/>
  <c r="F40" i="4"/>
  <c r="F43" i="6" s="1"/>
  <c r="E40" i="4"/>
  <c r="E43" i="6" s="1"/>
  <c r="D40" i="4"/>
  <c r="D43" i="6" s="1"/>
  <c r="H33" i="4"/>
  <c r="G33" i="4"/>
  <c r="F33" i="4"/>
  <c r="E33" i="4"/>
  <c r="D33" i="4"/>
  <c r="H26" i="4"/>
  <c r="G26" i="4"/>
  <c r="F26" i="4"/>
  <c r="E26" i="4"/>
  <c r="D26" i="4"/>
  <c r="H20" i="4"/>
  <c r="G20" i="4"/>
  <c r="F20" i="4"/>
  <c r="E20" i="4"/>
  <c r="D20" i="4"/>
  <c r="H19" i="4"/>
  <c r="G19" i="4"/>
  <c r="F19" i="4"/>
  <c r="E19" i="4"/>
  <c r="D19" i="4"/>
  <c r="H18" i="4"/>
  <c r="H21" i="4" s="1"/>
  <c r="G18" i="4"/>
  <c r="G21" i="4" s="1"/>
  <c r="F18" i="4"/>
  <c r="F21" i="4" s="1"/>
  <c r="E18" i="4"/>
  <c r="E21" i="4" s="1"/>
  <c r="D18" i="4"/>
  <c r="D21" i="4" s="1"/>
  <c r="H10" i="4"/>
  <c r="G10" i="4"/>
  <c r="F10" i="4"/>
  <c r="E10" i="4"/>
  <c r="D10" i="4"/>
  <c r="C44" i="4"/>
  <c r="C20" i="6" s="1"/>
  <c r="C40" i="4"/>
  <c r="C43" i="6" s="1"/>
  <c r="C33" i="4"/>
  <c r="C26" i="4"/>
  <c r="C20" i="4"/>
  <c r="C19" i="4"/>
  <c r="C18" i="4"/>
  <c r="C21" i="4" s="1"/>
  <c r="C10" i="4"/>
  <c r="N39" i="4"/>
  <c r="M39" i="4"/>
  <c r="L39" i="4"/>
  <c r="K39" i="4"/>
  <c r="J39" i="4"/>
  <c r="N38" i="4"/>
  <c r="M38" i="4"/>
  <c r="L38" i="4"/>
  <c r="K38" i="4"/>
  <c r="J38" i="4"/>
  <c r="N37" i="4"/>
  <c r="M37" i="4"/>
  <c r="L37" i="4"/>
  <c r="K37" i="4"/>
  <c r="J37" i="4"/>
  <c r="N36" i="4"/>
  <c r="N40" i="4" s="1"/>
  <c r="N43" i="6" s="1"/>
  <c r="M36" i="4"/>
  <c r="M40" i="4" s="1"/>
  <c r="M43" i="6" s="1"/>
  <c r="L36" i="4"/>
  <c r="L40" i="4" s="1"/>
  <c r="L43" i="6" s="1"/>
  <c r="K36" i="4"/>
  <c r="K40" i="4" s="1"/>
  <c r="K43" i="6" s="1"/>
  <c r="J36" i="4"/>
  <c r="J40" i="4" s="1"/>
  <c r="J43" i="6" s="1"/>
  <c r="N15" i="4"/>
  <c r="M15" i="4"/>
  <c r="L15" i="4"/>
  <c r="K15" i="4"/>
  <c r="J15" i="4"/>
  <c r="N14" i="4"/>
  <c r="M14" i="4"/>
  <c r="L14" i="4"/>
  <c r="K14" i="4"/>
  <c r="J14" i="4"/>
  <c r="N13" i="4"/>
  <c r="M13" i="4"/>
  <c r="L13" i="4"/>
  <c r="K13" i="4"/>
  <c r="J13" i="4"/>
  <c r="I39" i="4"/>
  <c r="O39" i="4" s="1"/>
  <c r="I38" i="4"/>
  <c r="O38" i="4" s="1"/>
  <c r="I37" i="4"/>
  <c r="O37" i="4" s="1"/>
  <c r="I36" i="4"/>
  <c r="I15" i="4"/>
  <c r="I14" i="4"/>
  <c r="I13" i="4"/>
  <c r="N33" i="3"/>
  <c r="N54" i="6" s="1"/>
  <c r="M33" i="3"/>
  <c r="M54" i="6" s="1"/>
  <c r="L33" i="3"/>
  <c r="L54" i="6" s="1"/>
  <c r="K33" i="3"/>
  <c r="K54" i="6" s="1"/>
  <c r="J33" i="3"/>
  <c r="J54" i="6" s="1"/>
  <c r="I33" i="3"/>
  <c r="I54" i="6" s="1"/>
  <c r="H33" i="3"/>
  <c r="H54" i="6" s="1"/>
  <c r="G33" i="3"/>
  <c r="G54" i="6" s="1"/>
  <c r="F33" i="3"/>
  <c r="F54" i="6" s="1"/>
  <c r="E33" i="3"/>
  <c r="E54" i="6" s="1"/>
  <c r="D33" i="3"/>
  <c r="D54" i="6" s="1"/>
  <c r="N32" i="3"/>
  <c r="N53" i="6" s="1"/>
  <c r="M32" i="3"/>
  <c r="M53" i="6" s="1"/>
  <c r="L32" i="3"/>
  <c r="L53" i="6" s="1"/>
  <c r="K32" i="3"/>
  <c r="K53" i="6" s="1"/>
  <c r="J32" i="3"/>
  <c r="J53" i="6" s="1"/>
  <c r="I32" i="3"/>
  <c r="I53" i="6" s="1"/>
  <c r="H32" i="3"/>
  <c r="H53" i="6" s="1"/>
  <c r="G32" i="3"/>
  <c r="G53" i="6" s="1"/>
  <c r="F32" i="3"/>
  <c r="F53" i="6" s="1"/>
  <c r="E32" i="3"/>
  <c r="E53" i="6" s="1"/>
  <c r="D32" i="3"/>
  <c r="D53" i="6" s="1"/>
  <c r="N31" i="3"/>
  <c r="N52" i="6" s="1"/>
  <c r="M31" i="3"/>
  <c r="M52" i="6" s="1"/>
  <c r="L31" i="3"/>
  <c r="L52" i="6" s="1"/>
  <c r="K31" i="3"/>
  <c r="K52" i="6" s="1"/>
  <c r="J31" i="3"/>
  <c r="J52" i="6" s="1"/>
  <c r="I31" i="3"/>
  <c r="I52" i="6" s="1"/>
  <c r="H31" i="3"/>
  <c r="H52" i="6" s="1"/>
  <c r="G31" i="3"/>
  <c r="G52" i="6" s="1"/>
  <c r="F31" i="3"/>
  <c r="F52" i="6" s="1"/>
  <c r="E31" i="3"/>
  <c r="E52" i="6" s="1"/>
  <c r="D31" i="3"/>
  <c r="D52" i="6" s="1"/>
  <c r="N30" i="3"/>
  <c r="M30" i="3"/>
  <c r="L30" i="3"/>
  <c r="K30" i="3"/>
  <c r="J30" i="3"/>
  <c r="J51" i="6" s="1"/>
  <c r="J55" i="6" s="1"/>
  <c r="I30" i="3"/>
  <c r="H30" i="3"/>
  <c r="H51" i="6" s="1"/>
  <c r="H55" i="6" s="1"/>
  <c r="G30" i="3"/>
  <c r="F30" i="3"/>
  <c r="E30" i="3"/>
  <c r="D30" i="3"/>
  <c r="N9" i="3"/>
  <c r="M9" i="3"/>
  <c r="L9" i="3"/>
  <c r="K9" i="3"/>
  <c r="J9" i="3"/>
  <c r="I9" i="3"/>
  <c r="H9" i="3"/>
  <c r="G9" i="3"/>
  <c r="F9" i="3"/>
  <c r="E9" i="3"/>
  <c r="D9" i="3"/>
  <c r="N8" i="3"/>
  <c r="M8" i="3"/>
  <c r="L8" i="3"/>
  <c r="K8" i="3"/>
  <c r="J8" i="3"/>
  <c r="I8" i="3"/>
  <c r="H8" i="3"/>
  <c r="G8" i="3"/>
  <c r="F8" i="3"/>
  <c r="E8" i="3"/>
  <c r="D8" i="3"/>
  <c r="C33" i="3"/>
  <c r="C32" i="3"/>
  <c r="C31" i="3"/>
  <c r="C30" i="3"/>
  <c r="C34" i="3" s="1"/>
  <c r="C14" i="3"/>
  <c r="C9" i="3"/>
  <c r="D28" i="2"/>
  <c r="C32" i="2" s="1"/>
  <c r="C11" i="2" s="1"/>
  <c r="C28" i="2"/>
  <c r="E16" i="2"/>
  <c r="E15" i="2"/>
  <c r="E10" i="2"/>
  <c r="D16" i="2"/>
  <c r="D15" i="2"/>
  <c r="D10" i="2"/>
  <c r="C16" i="2"/>
  <c r="C30" i="2" s="1"/>
  <c r="F13" i="5" l="1"/>
  <c r="C13" i="5"/>
  <c r="C31" i="2"/>
  <c r="C54" i="4" s="1"/>
  <c r="I26" i="4"/>
  <c r="I24" i="4" s="1"/>
  <c r="O33" i="5"/>
  <c r="H39" i="5"/>
  <c r="G39" i="5"/>
  <c r="F39" i="5"/>
  <c r="E39" i="5"/>
  <c r="D39" i="5"/>
  <c r="H26" i="5"/>
  <c r="G26" i="5"/>
  <c r="F26" i="5"/>
  <c r="E26" i="5"/>
  <c r="D26" i="5"/>
  <c r="H13" i="5"/>
  <c r="H46" i="5" s="1"/>
  <c r="G13" i="5"/>
  <c r="F46" i="5"/>
  <c r="C39" i="5"/>
  <c r="C46" i="5" s="1"/>
  <c r="C26" i="5"/>
  <c r="H38" i="6"/>
  <c r="H37" i="6"/>
  <c r="H36" i="6"/>
  <c r="H35" i="6"/>
  <c r="H39" i="6" s="1"/>
  <c r="G38" i="6"/>
  <c r="G35" i="6"/>
  <c r="G37" i="6"/>
  <c r="G36" i="6"/>
  <c r="F35" i="6"/>
  <c r="F37" i="6"/>
  <c r="F38" i="6"/>
  <c r="F36" i="6"/>
  <c r="E35" i="6"/>
  <c r="E38" i="6"/>
  <c r="E37" i="6"/>
  <c r="E36" i="6"/>
  <c r="D35" i="6"/>
  <c r="D38" i="6"/>
  <c r="D37" i="6"/>
  <c r="D36" i="6"/>
  <c r="H30" i="6"/>
  <c r="H45" i="4"/>
  <c r="H46" i="4" s="1"/>
  <c r="H48" i="4" s="1"/>
  <c r="G30" i="6"/>
  <c r="G45" i="4"/>
  <c r="G46" i="4" s="1"/>
  <c r="G48" i="4" s="1"/>
  <c r="F30" i="6"/>
  <c r="F45" i="4"/>
  <c r="F46" i="4" s="1"/>
  <c r="F48" i="4" s="1"/>
  <c r="E30" i="6"/>
  <c r="E45" i="4"/>
  <c r="E46" i="4" s="1"/>
  <c r="E48" i="4" s="1"/>
  <c r="D30" i="6"/>
  <c r="D45" i="4"/>
  <c r="D46" i="4" s="1"/>
  <c r="D48" i="4" s="1"/>
  <c r="H51" i="4"/>
  <c r="H49" i="4"/>
  <c r="G51" i="4"/>
  <c r="G49" i="4"/>
  <c r="F51" i="4"/>
  <c r="F49" i="4"/>
  <c r="E51" i="4"/>
  <c r="E49" i="4"/>
  <c r="D51" i="4"/>
  <c r="D49" i="4"/>
  <c r="C45" i="4"/>
  <c r="C46" i="4" s="1"/>
  <c r="C48" i="4" s="1"/>
  <c r="C49" i="4"/>
  <c r="C51" i="4"/>
  <c r="O20" i="5"/>
  <c r="O7" i="3"/>
  <c r="C8" i="5"/>
  <c r="E13" i="5"/>
  <c r="D13" i="5"/>
  <c r="I7" i="5"/>
  <c r="I43" i="4"/>
  <c r="I10" i="4"/>
  <c r="N7" i="5"/>
  <c r="N43" i="4"/>
  <c r="N15" i="6" s="1"/>
  <c r="N26" i="4"/>
  <c r="N10" i="4"/>
  <c r="M7" i="5"/>
  <c r="M43" i="4"/>
  <c r="M15" i="6" s="1"/>
  <c r="M26" i="4"/>
  <c r="M10" i="4"/>
  <c r="L7" i="5"/>
  <c r="L43" i="4"/>
  <c r="L15" i="6" s="1"/>
  <c r="L26" i="4"/>
  <c r="L10" i="4"/>
  <c r="K7" i="5"/>
  <c r="K43" i="4"/>
  <c r="K15" i="6" s="1"/>
  <c r="K26" i="4"/>
  <c r="K10" i="4"/>
  <c r="J7" i="5"/>
  <c r="J43" i="4"/>
  <c r="J15" i="6" s="1"/>
  <c r="J26" i="4"/>
  <c r="J10" i="4"/>
  <c r="J34" i="3"/>
  <c r="J42" i="6" s="1"/>
  <c r="J45" i="6" s="1"/>
  <c r="H34" i="3"/>
  <c r="I14" i="6"/>
  <c r="I19" i="6"/>
  <c r="H7" i="6"/>
  <c r="G7" i="6"/>
  <c r="F7" i="6"/>
  <c r="E7" i="6"/>
  <c r="D7" i="6"/>
  <c r="C7" i="6"/>
  <c r="N20" i="4"/>
  <c r="N36" i="5"/>
  <c r="N39" i="5" s="1"/>
  <c r="M20" i="4"/>
  <c r="M36" i="5"/>
  <c r="M39" i="5" s="1"/>
  <c r="L36" i="5"/>
  <c r="L39" i="5" s="1"/>
  <c r="L20" i="4"/>
  <c r="K36" i="5"/>
  <c r="K39" i="5" s="1"/>
  <c r="K20" i="4"/>
  <c r="J36" i="5"/>
  <c r="J39" i="5" s="1"/>
  <c r="J20" i="4"/>
  <c r="N19" i="4"/>
  <c r="N23" i="5"/>
  <c r="N26" i="5" s="1"/>
  <c r="M19" i="4"/>
  <c r="M23" i="5"/>
  <c r="M26" i="5" s="1"/>
  <c r="L19" i="4"/>
  <c r="L23" i="5"/>
  <c r="L26" i="5" s="1"/>
  <c r="K19" i="4"/>
  <c r="K23" i="5"/>
  <c r="K26" i="5" s="1"/>
  <c r="J23" i="5"/>
  <c r="J26" i="5" s="1"/>
  <c r="J19" i="4"/>
  <c r="N18" i="4"/>
  <c r="N10" i="5"/>
  <c r="M18" i="4"/>
  <c r="M10" i="5"/>
  <c r="L18" i="4"/>
  <c r="L10" i="5"/>
  <c r="K18" i="4"/>
  <c r="K10" i="5"/>
  <c r="K13" i="5" s="1"/>
  <c r="J18" i="4"/>
  <c r="J10" i="5"/>
  <c r="O36" i="4"/>
  <c r="I40" i="4"/>
  <c r="I20" i="4"/>
  <c r="I36" i="5"/>
  <c r="I39" i="5" s="1"/>
  <c r="I23" i="5"/>
  <c r="I26" i="5" s="1"/>
  <c r="I19" i="4"/>
  <c r="I18" i="4"/>
  <c r="I10" i="5"/>
  <c r="N34" i="3"/>
  <c r="N42" i="6" s="1"/>
  <c r="N45" i="6" s="1"/>
  <c r="N51" i="6"/>
  <c r="N55" i="6" s="1"/>
  <c r="N67" i="6" s="1"/>
  <c r="M34" i="3"/>
  <c r="M42" i="6" s="1"/>
  <c r="M45" i="6" s="1"/>
  <c r="M51" i="6"/>
  <c r="M55" i="6" s="1"/>
  <c r="M67" i="6" s="1"/>
  <c r="L34" i="3"/>
  <c r="L42" i="6" s="1"/>
  <c r="L45" i="6" s="1"/>
  <c r="L51" i="6"/>
  <c r="L55" i="6" s="1"/>
  <c r="L67" i="6" s="1"/>
  <c r="K34" i="3"/>
  <c r="K42" i="6" s="1"/>
  <c r="K45" i="6" s="1"/>
  <c r="K51" i="6"/>
  <c r="K55" i="6" s="1"/>
  <c r="K67" i="6" s="1"/>
  <c r="I34" i="3"/>
  <c r="I42" i="6" s="1"/>
  <c r="I51" i="6"/>
  <c r="I55" i="6" s="1"/>
  <c r="G34" i="3"/>
  <c r="G42" i="6" s="1"/>
  <c r="G45" i="6" s="1"/>
  <c r="G51" i="6"/>
  <c r="G55" i="6" s="1"/>
  <c r="G67" i="6" s="1"/>
  <c r="F34" i="3"/>
  <c r="F42" i="6" s="1"/>
  <c r="F45" i="6" s="1"/>
  <c r="F51" i="6"/>
  <c r="F55" i="6" s="1"/>
  <c r="F67" i="6" s="1"/>
  <c r="E34" i="3"/>
  <c r="E42" i="6" s="1"/>
  <c r="E45" i="6" s="1"/>
  <c r="E51" i="6"/>
  <c r="E55" i="6" s="1"/>
  <c r="E67" i="6" s="1"/>
  <c r="D34" i="3"/>
  <c r="D42" i="6" s="1"/>
  <c r="D51" i="6"/>
  <c r="N15" i="3"/>
  <c r="N34" i="5"/>
  <c r="N35" i="5" s="1"/>
  <c r="M15" i="3"/>
  <c r="M34" i="5"/>
  <c r="M35" i="5" s="1"/>
  <c r="L15" i="3"/>
  <c r="L34" i="5"/>
  <c r="L35" i="5" s="1"/>
  <c r="K15" i="3"/>
  <c r="K34" i="5"/>
  <c r="K35" i="5" s="1"/>
  <c r="J15" i="3"/>
  <c r="J34" i="5"/>
  <c r="J35" i="5" s="1"/>
  <c r="I15" i="3"/>
  <c r="I34" i="5"/>
  <c r="I35" i="5" s="1"/>
  <c r="H15" i="3"/>
  <c r="H34" i="5"/>
  <c r="H35" i="5" s="1"/>
  <c r="G15" i="3"/>
  <c r="G34" i="5"/>
  <c r="G35" i="5" s="1"/>
  <c r="F15" i="3"/>
  <c r="F34" i="5"/>
  <c r="F35" i="5" s="1"/>
  <c r="E15" i="3"/>
  <c r="E34" i="5"/>
  <c r="E35" i="5" s="1"/>
  <c r="D15" i="3"/>
  <c r="D34" i="5"/>
  <c r="D35" i="5" s="1"/>
  <c r="N14" i="3"/>
  <c r="N21" i="5"/>
  <c r="N22" i="5" s="1"/>
  <c r="M14" i="3"/>
  <c r="M21" i="5"/>
  <c r="M22" i="5" s="1"/>
  <c r="L14" i="3"/>
  <c r="L21" i="5"/>
  <c r="L22" i="5" s="1"/>
  <c r="K14" i="3"/>
  <c r="K21" i="5"/>
  <c r="K22" i="5" s="1"/>
  <c r="J14" i="3"/>
  <c r="J21" i="5"/>
  <c r="J22" i="5" s="1"/>
  <c r="I14" i="3"/>
  <c r="I21" i="5"/>
  <c r="I22" i="5" s="1"/>
  <c r="H14" i="3"/>
  <c r="H21" i="5"/>
  <c r="H22" i="5" s="1"/>
  <c r="G14" i="3"/>
  <c r="G21" i="5"/>
  <c r="G22" i="5" s="1"/>
  <c r="F14" i="3"/>
  <c r="F21" i="5"/>
  <c r="F22" i="5" s="1"/>
  <c r="E14" i="3"/>
  <c r="E21" i="5"/>
  <c r="E22" i="5" s="1"/>
  <c r="D14" i="3"/>
  <c r="O14" i="3" s="1"/>
  <c r="O8" i="3"/>
  <c r="D21" i="5"/>
  <c r="C42" i="6"/>
  <c r="C45" i="6" s="1"/>
  <c r="C54" i="6"/>
  <c r="O54" i="6" s="1"/>
  <c r="O33" i="3"/>
  <c r="O32" i="3"/>
  <c r="C53" i="6"/>
  <c r="O53" i="6" s="1"/>
  <c r="O31" i="3"/>
  <c r="C52" i="6"/>
  <c r="O52" i="6" s="1"/>
  <c r="C51" i="6"/>
  <c r="C55" i="6" s="1"/>
  <c r="O30" i="3"/>
  <c r="C15" i="3"/>
  <c r="O9" i="3"/>
  <c r="C34" i="5"/>
  <c r="O10" i="6"/>
  <c r="C10" i="6"/>
  <c r="C29" i="6" s="1"/>
  <c r="C31" i="6" s="1"/>
  <c r="D10" i="6"/>
  <c r="D29" i="6" s="1"/>
  <c r="D31" i="6" s="1"/>
  <c r="E10" i="6"/>
  <c r="E29" i="6" s="1"/>
  <c r="E31" i="6" s="1"/>
  <c r="F10" i="6"/>
  <c r="F29" i="6" s="1"/>
  <c r="F31" i="6" s="1"/>
  <c r="G10" i="6"/>
  <c r="G29" i="6" s="1"/>
  <c r="G31" i="6" s="1"/>
  <c r="E11" i="2"/>
  <c r="E12" i="2" s="1"/>
  <c r="E13" i="2" s="1"/>
  <c r="H10" i="6"/>
  <c r="H29" i="6" s="1"/>
  <c r="H31" i="6" s="1"/>
  <c r="I10" i="6"/>
  <c r="J10" i="6"/>
  <c r="K10" i="6"/>
  <c r="L10" i="6"/>
  <c r="M10" i="6"/>
  <c r="N10" i="6"/>
  <c r="D11" i="2"/>
  <c r="D12" i="2" s="1"/>
  <c r="D13" i="2" s="1"/>
  <c r="C12" i="2"/>
  <c r="C13" i="2" s="1"/>
  <c r="C19" i="6"/>
  <c r="C21" i="6" s="1"/>
  <c r="C22" i="6" s="1"/>
  <c r="H19" i="6"/>
  <c r="G19" i="6"/>
  <c r="F19" i="6"/>
  <c r="D19" i="6"/>
  <c r="E19" i="6"/>
  <c r="F16" i="6"/>
  <c r="E16" i="6"/>
  <c r="D16" i="6"/>
  <c r="C38" i="6"/>
  <c r="C37" i="6"/>
  <c r="C35" i="6"/>
  <c r="C22" i="5"/>
  <c r="D8" i="5"/>
  <c r="D18" i="3"/>
  <c r="D21" i="3"/>
  <c r="D22" i="3"/>
  <c r="E18" i="3"/>
  <c r="E22" i="3"/>
  <c r="E8" i="5"/>
  <c r="E21" i="3"/>
  <c r="F18" i="3"/>
  <c r="F8" i="5"/>
  <c r="F21" i="3"/>
  <c r="F22" i="3"/>
  <c r="G18" i="3"/>
  <c r="G8" i="5"/>
  <c r="G21" i="3"/>
  <c r="G22" i="3"/>
  <c r="H18" i="3"/>
  <c r="H8" i="5"/>
  <c r="H21" i="3"/>
  <c r="H22" i="3"/>
  <c r="I8" i="5"/>
  <c r="I22" i="3"/>
  <c r="I21" i="3"/>
  <c r="I18" i="3"/>
  <c r="J21" i="3"/>
  <c r="J22" i="3"/>
  <c r="J18" i="3"/>
  <c r="J8" i="5"/>
  <c r="K21" i="3"/>
  <c r="K22" i="3"/>
  <c r="K18" i="3"/>
  <c r="K8" i="5"/>
  <c r="L21" i="3"/>
  <c r="L22" i="3"/>
  <c r="L18" i="3"/>
  <c r="L8" i="5"/>
  <c r="M22" i="3"/>
  <c r="M18" i="3"/>
  <c r="M21" i="3"/>
  <c r="M8" i="5"/>
  <c r="N21" i="3"/>
  <c r="N22" i="3"/>
  <c r="N8" i="5"/>
  <c r="N18" i="3"/>
  <c r="C22" i="3"/>
  <c r="C21" i="3"/>
  <c r="C18" i="3"/>
  <c r="C9" i="6" s="1"/>
  <c r="C13" i="3"/>
  <c r="C10" i="3"/>
  <c r="C23" i="3"/>
  <c r="N14" i="6"/>
  <c r="N19" i="6"/>
  <c r="M14" i="6"/>
  <c r="M19" i="6"/>
  <c r="L14" i="6"/>
  <c r="L19" i="6"/>
  <c r="K19" i="6"/>
  <c r="K14" i="6"/>
  <c r="J19" i="6"/>
  <c r="J14" i="6"/>
  <c r="N10" i="3"/>
  <c r="N13" i="3"/>
  <c r="M13" i="3"/>
  <c r="M10" i="3"/>
  <c r="L10" i="3"/>
  <c r="L13" i="3"/>
  <c r="K10" i="3"/>
  <c r="K13" i="3"/>
  <c r="J10" i="3"/>
  <c r="J13" i="3"/>
  <c r="I10" i="3"/>
  <c r="I13" i="3"/>
  <c r="H10" i="3"/>
  <c r="H13" i="3"/>
  <c r="G10" i="3"/>
  <c r="G13" i="3"/>
  <c r="F10" i="3"/>
  <c r="F13" i="3"/>
  <c r="E13" i="3"/>
  <c r="E10" i="3"/>
  <c r="D13" i="3"/>
  <c r="D10" i="3"/>
  <c r="G46" i="5" l="1"/>
  <c r="C9" i="5"/>
  <c r="D9" i="5"/>
  <c r="C32" i="6"/>
  <c r="C28" i="6"/>
  <c r="C23" i="6"/>
  <c r="C62" i="6" s="1"/>
  <c r="C33" i="6"/>
  <c r="C63" i="6"/>
  <c r="H44" i="7"/>
  <c r="H52" i="4"/>
  <c r="G44" i="7"/>
  <c r="G52" i="4"/>
  <c r="F44" i="7"/>
  <c r="F52" i="4"/>
  <c r="E44" i="7"/>
  <c r="E52" i="4"/>
  <c r="D44" i="7"/>
  <c r="D52" i="4"/>
  <c r="C52" i="4"/>
  <c r="C44" i="7"/>
  <c r="D39" i="6"/>
  <c r="E46" i="5"/>
  <c r="D46" i="5"/>
  <c r="G39" i="6"/>
  <c r="F39" i="6"/>
  <c r="F64" i="6" s="1"/>
  <c r="E39" i="6"/>
  <c r="C67" i="6"/>
  <c r="C64" i="6"/>
  <c r="D22" i="5"/>
  <c r="O22" i="5" s="1"/>
  <c r="O21" i="5"/>
  <c r="M16" i="3"/>
  <c r="L16" i="3"/>
  <c r="K16" i="3"/>
  <c r="J16" i="3"/>
  <c r="I16" i="3"/>
  <c r="H16" i="3"/>
  <c r="G16" i="3"/>
  <c r="F16" i="3"/>
  <c r="E16" i="3"/>
  <c r="C16" i="3"/>
  <c r="C26" i="3" s="1"/>
  <c r="C27" i="3" s="1"/>
  <c r="N21" i="4"/>
  <c r="N13" i="5"/>
  <c r="N46" i="5" s="1"/>
  <c r="M21" i="4"/>
  <c r="M13" i="5"/>
  <c r="M46" i="5" s="1"/>
  <c r="L21" i="4"/>
  <c r="L13" i="5"/>
  <c r="L46" i="5" s="1"/>
  <c r="K21" i="4"/>
  <c r="J13" i="5"/>
  <c r="J46" i="5" s="1"/>
  <c r="O39" i="5"/>
  <c r="O36" i="5" s="1"/>
  <c r="I13" i="5"/>
  <c r="J67" i="6"/>
  <c r="D64" i="6"/>
  <c r="E64" i="6"/>
  <c r="G64" i="6"/>
  <c r="H64" i="6"/>
  <c r="O26" i="5"/>
  <c r="O23" i="5" s="1"/>
  <c r="C39" i="3"/>
  <c r="C40" i="3" s="1"/>
  <c r="C12" i="5"/>
  <c r="G12" i="5"/>
  <c r="I12" i="5"/>
  <c r="J12" i="5"/>
  <c r="L12" i="5"/>
  <c r="M12" i="5"/>
  <c r="O12" i="5"/>
  <c r="D12" i="5"/>
  <c r="D15" i="5" s="1"/>
  <c r="E12" i="5"/>
  <c r="H12" i="5"/>
  <c r="K12" i="5"/>
  <c r="F12" i="5"/>
  <c r="N12" i="5"/>
  <c r="D39" i="3"/>
  <c r="D40" i="3" s="1"/>
  <c r="D23" i="3"/>
  <c r="O43" i="4"/>
  <c r="I15" i="6"/>
  <c r="O15" i="3"/>
  <c r="H21" i="6"/>
  <c r="G21" i="6"/>
  <c r="F21" i="6"/>
  <c r="D21" i="6"/>
  <c r="E21" i="6"/>
  <c r="O21" i="3"/>
  <c r="I9" i="5"/>
  <c r="J9" i="5"/>
  <c r="K9" i="5"/>
  <c r="L9" i="5"/>
  <c r="M9" i="5"/>
  <c r="N9" i="5"/>
  <c r="N16" i="6"/>
  <c r="M16" i="6"/>
  <c r="L16" i="6"/>
  <c r="K16" i="6"/>
  <c r="N16" i="3"/>
  <c r="O7" i="5"/>
  <c r="O10" i="4"/>
  <c r="D4" i="7" s="1"/>
  <c r="O26" i="4"/>
  <c r="I25" i="4"/>
  <c r="I7" i="6"/>
  <c r="I54" i="4"/>
  <c r="I55" i="4" s="1"/>
  <c r="N24" i="4"/>
  <c r="N25" i="4"/>
  <c r="N54" i="4"/>
  <c r="N55" i="4" s="1"/>
  <c r="N7" i="6"/>
  <c r="M24" i="4"/>
  <c r="M25" i="4"/>
  <c r="M44" i="4" s="1"/>
  <c r="M20" i="6" s="1"/>
  <c r="M7" i="6"/>
  <c r="M54" i="4"/>
  <c r="M55" i="4" s="1"/>
  <c r="L24" i="4"/>
  <c r="L54" i="4"/>
  <c r="L55" i="4" s="1"/>
  <c r="L7" i="6"/>
  <c r="L25" i="4"/>
  <c r="L44" i="4" s="1"/>
  <c r="L20" i="6" s="1"/>
  <c r="K24" i="4"/>
  <c r="K54" i="4"/>
  <c r="K55" i="4" s="1"/>
  <c r="K25" i="4"/>
  <c r="K44" i="4" s="1"/>
  <c r="K20" i="6" s="1"/>
  <c r="K7" i="6"/>
  <c r="J24" i="4"/>
  <c r="J7" i="6"/>
  <c r="J25" i="4"/>
  <c r="J44" i="4" s="1"/>
  <c r="J20" i="6" s="1"/>
  <c r="J54" i="4"/>
  <c r="J55" i="4" s="1"/>
  <c r="O18" i="4"/>
  <c r="O13" i="4" s="1"/>
  <c r="I21" i="4"/>
  <c r="D45" i="6"/>
  <c r="D55" i="6"/>
  <c r="O51" i="6"/>
  <c r="H28" i="6"/>
  <c r="H32" i="6"/>
  <c r="G28" i="6"/>
  <c r="G32" i="6"/>
  <c r="F28" i="6"/>
  <c r="F32" i="6"/>
  <c r="E28" i="6"/>
  <c r="E32" i="6"/>
  <c r="D28" i="6"/>
  <c r="D32" i="6"/>
  <c r="O40" i="4"/>
  <c r="D8" i="7" s="1"/>
  <c r="I43" i="6"/>
  <c r="C35" i="5"/>
  <c r="O35" i="5" s="1"/>
  <c r="O34" i="5"/>
  <c r="D38" i="5"/>
  <c r="F38" i="5"/>
  <c r="H38" i="5"/>
  <c r="K38" i="5"/>
  <c r="O38" i="5"/>
  <c r="C38" i="5"/>
  <c r="E38" i="5"/>
  <c r="G38" i="5"/>
  <c r="I38" i="5"/>
  <c r="J38" i="5"/>
  <c r="L38" i="5"/>
  <c r="M38" i="5"/>
  <c r="N38" i="5"/>
  <c r="C25" i="5"/>
  <c r="D25" i="5"/>
  <c r="F25" i="5"/>
  <c r="H25" i="5"/>
  <c r="I25" i="5"/>
  <c r="I27" i="5" s="1"/>
  <c r="K25" i="5"/>
  <c r="L25" i="5"/>
  <c r="M25" i="5"/>
  <c r="N25" i="5"/>
  <c r="E25" i="5"/>
  <c r="G25" i="5"/>
  <c r="J25" i="5"/>
  <c r="O25" i="5"/>
  <c r="N11" i="6"/>
  <c r="M11" i="6"/>
  <c r="L11" i="6"/>
  <c r="K11" i="6"/>
  <c r="J11" i="6"/>
  <c r="I11" i="6"/>
  <c r="H11" i="6"/>
  <c r="G11" i="6"/>
  <c r="F11" i="6"/>
  <c r="E11" i="6"/>
  <c r="D11" i="6"/>
  <c r="D14" i="2"/>
  <c r="C11" i="6"/>
  <c r="E14" i="2"/>
  <c r="C14" i="2"/>
  <c r="O11" i="6"/>
  <c r="J21" i="4"/>
  <c r="O20" i="4"/>
  <c r="O15" i="4" s="1"/>
  <c r="O19" i="4"/>
  <c r="O14" i="4" s="1"/>
  <c r="O22" i="3"/>
  <c r="O10" i="3"/>
  <c r="C4" i="7" s="1"/>
  <c r="H42" i="6"/>
  <c r="O34" i="3"/>
  <c r="C8" i="7" s="1"/>
  <c r="G54" i="4"/>
  <c r="G55" i="4" s="1"/>
  <c r="F54" i="4"/>
  <c r="F55" i="4" s="1"/>
  <c r="E54" i="4"/>
  <c r="E55" i="4" s="1"/>
  <c r="D54" i="4"/>
  <c r="D55" i="4" s="1"/>
  <c r="H54" i="4"/>
  <c r="H55" i="4" s="1"/>
  <c r="O8" i="5"/>
  <c r="D9" i="6"/>
  <c r="O18" i="3"/>
  <c r="D16" i="3"/>
  <c r="O13" i="3"/>
  <c r="E9" i="6"/>
  <c r="E23" i="3"/>
  <c r="E24" i="3" s="1"/>
  <c r="E39" i="3"/>
  <c r="E40" i="3" s="1"/>
  <c r="E9" i="5"/>
  <c r="F9" i="6"/>
  <c r="F39" i="3"/>
  <c r="F40" i="3" s="1"/>
  <c r="F23" i="3"/>
  <c r="F24" i="3" s="1"/>
  <c r="F9" i="5"/>
  <c r="G9" i="6"/>
  <c r="G39" i="3"/>
  <c r="G40" i="3" s="1"/>
  <c r="G23" i="3"/>
  <c r="G24" i="3" s="1"/>
  <c r="G9" i="5"/>
  <c r="H9" i="6"/>
  <c r="H39" i="3"/>
  <c r="H40" i="3" s="1"/>
  <c r="H23" i="3"/>
  <c r="H24" i="3" s="1"/>
  <c r="H9" i="5"/>
  <c r="I9" i="6"/>
  <c r="I23" i="3"/>
  <c r="I24" i="3" s="1"/>
  <c r="I39" i="3"/>
  <c r="I40" i="3" s="1"/>
  <c r="J9" i="6"/>
  <c r="J23" i="3"/>
  <c r="J24" i="3" s="1"/>
  <c r="J39" i="3"/>
  <c r="K9" i="6"/>
  <c r="K23" i="3"/>
  <c r="K24" i="3" s="1"/>
  <c r="K39" i="3"/>
  <c r="K40" i="3" s="1"/>
  <c r="L9" i="6"/>
  <c r="L23" i="3"/>
  <c r="L24" i="3" s="1"/>
  <c r="L39" i="3"/>
  <c r="L40" i="3" s="1"/>
  <c r="M9" i="6"/>
  <c r="M23" i="3"/>
  <c r="M24" i="3" s="1"/>
  <c r="M39" i="3"/>
  <c r="M40" i="3" s="1"/>
  <c r="N9" i="6"/>
  <c r="N23" i="3"/>
  <c r="N24" i="3" s="1"/>
  <c r="N39" i="3"/>
  <c r="N40" i="3" s="1"/>
  <c r="C24" i="3"/>
  <c r="O19" i="6"/>
  <c r="O14" i="6"/>
  <c r="J16" i="6"/>
  <c r="K46" i="5"/>
  <c r="I40" i="5" l="1"/>
  <c r="I43" i="5" s="1"/>
  <c r="I41" i="5"/>
  <c r="C17" i="5"/>
  <c r="C48" i="6"/>
  <c r="C44" i="6"/>
  <c r="C47" i="6"/>
  <c r="C66" i="6" s="1"/>
  <c r="N44" i="4"/>
  <c r="N20" i="6" s="1"/>
  <c r="F47" i="6"/>
  <c r="G47" i="6"/>
  <c r="H47" i="6"/>
  <c r="I21" i="6"/>
  <c r="I28" i="6"/>
  <c r="D33" i="6"/>
  <c r="D63" i="6"/>
  <c r="O16" i="3"/>
  <c r="C5" i="7" s="1"/>
  <c r="N26" i="3"/>
  <c r="G26" i="3"/>
  <c r="H26" i="3"/>
  <c r="J26" i="3"/>
  <c r="E26" i="3"/>
  <c r="F26" i="3"/>
  <c r="I26" i="3"/>
  <c r="K26" i="3"/>
  <c r="L26" i="3"/>
  <c r="M26" i="3"/>
  <c r="H33" i="6"/>
  <c r="H63" i="6"/>
  <c r="G33" i="6"/>
  <c r="G63" i="6"/>
  <c r="F33" i="6"/>
  <c r="F63" i="6"/>
  <c r="E33" i="6"/>
  <c r="E63" i="6"/>
  <c r="G17" i="5"/>
  <c r="E17" i="5"/>
  <c r="F17" i="5"/>
  <c r="H17" i="5"/>
  <c r="O13" i="5"/>
  <c r="O10" i="5" s="1"/>
  <c r="I46" i="5"/>
  <c r="O46" i="5" s="1"/>
  <c r="C14" i="7" s="1"/>
  <c r="G15" i="5"/>
  <c r="G16" i="5"/>
  <c r="I16" i="5"/>
  <c r="I15" i="5"/>
  <c r="J16" i="5"/>
  <c r="J15" i="5"/>
  <c r="J17" i="5"/>
  <c r="L17" i="5"/>
  <c r="L16" i="5"/>
  <c r="L15" i="5"/>
  <c r="M17" i="5"/>
  <c r="M15" i="5"/>
  <c r="M16" i="5"/>
  <c r="D16" i="5"/>
  <c r="E15" i="5"/>
  <c r="E16" i="5"/>
  <c r="H15" i="5"/>
  <c r="H16" i="5"/>
  <c r="H54" i="5" s="1"/>
  <c r="K15" i="5"/>
  <c r="K16" i="5"/>
  <c r="K17" i="5"/>
  <c r="F15" i="5"/>
  <c r="F16" i="5"/>
  <c r="N15" i="5"/>
  <c r="N16" i="5"/>
  <c r="N17" i="5"/>
  <c r="D24" i="3"/>
  <c r="O23" i="3"/>
  <c r="O55" i="6"/>
  <c r="D67" i="6"/>
  <c r="H45" i="6"/>
  <c r="O42" i="6"/>
  <c r="C29" i="7" s="1"/>
  <c r="N28" i="6"/>
  <c r="N21" i="6"/>
  <c r="M21" i="6"/>
  <c r="M22" i="6" s="1"/>
  <c r="M28" i="6"/>
  <c r="L21" i="6"/>
  <c r="L22" i="6" s="1"/>
  <c r="L28" i="6"/>
  <c r="K21" i="6"/>
  <c r="K22" i="6" s="1"/>
  <c r="K24" i="6" s="1"/>
  <c r="K25" i="6" s="1"/>
  <c r="K62" i="6" s="1"/>
  <c r="K28" i="6"/>
  <c r="J21" i="6"/>
  <c r="J28" i="6"/>
  <c r="O7" i="6"/>
  <c r="O21" i="6" s="1"/>
  <c r="I16" i="6"/>
  <c r="O16" i="6" s="1"/>
  <c r="C18" i="7" s="1"/>
  <c r="D18" i="7" s="1"/>
  <c r="O15" i="6"/>
  <c r="H23" i="6"/>
  <c r="H22" i="6"/>
  <c r="G23" i="6"/>
  <c r="G22" i="6"/>
  <c r="F23" i="6"/>
  <c r="F22" i="6"/>
  <c r="F24" i="6" s="1"/>
  <c r="F25" i="6" s="1"/>
  <c r="F62" i="6" s="1"/>
  <c r="D23" i="6"/>
  <c r="D22" i="6"/>
  <c r="D24" i="6" s="1"/>
  <c r="D25" i="6" s="1"/>
  <c r="D62" i="6" s="1"/>
  <c r="E23" i="6"/>
  <c r="E22" i="6"/>
  <c r="E24" i="6" s="1"/>
  <c r="E25" i="6" s="1"/>
  <c r="E62" i="6" s="1"/>
  <c r="O24" i="4"/>
  <c r="I8" i="6"/>
  <c r="I44" i="4"/>
  <c r="I32" i="4"/>
  <c r="I31" i="4"/>
  <c r="I30" i="4"/>
  <c r="I29" i="4"/>
  <c r="N30" i="4"/>
  <c r="N29" i="4"/>
  <c r="N8" i="6"/>
  <c r="N48" i="6" s="1"/>
  <c r="N32" i="4"/>
  <c r="N31" i="4"/>
  <c r="M32" i="4"/>
  <c r="M29" i="4"/>
  <c r="M30" i="4"/>
  <c r="M31" i="4"/>
  <c r="M8" i="6"/>
  <c r="L31" i="4"/>
  <c r="L32" i="4"/>
  <c r="L30" i="4"/>
  <c r="L29" i="4"/>
  <c r="L8" i="6"/>
  <c r="L23" i="6" s="1"/>
  <c r="K30" i="4"/>
  <c r="K29" i="4"/>
  <c r="K31" i="4"/>
  <c r="K32" i="4"/>
  <c r="K8" i="6"/>
  <c r="K23" i="6" s="1"/>
  <c r="J29" i="4"/>
  <c r="J30" i="4"/>
  <c r="J31" i="4"/>
  <c r="J32" i="4"/>
  <c r="J8" i="6"/>
  <c r="J48" i="6" s="1"/>
  <c r="O21" i="4"/>
  <c r="D5" i="7" s="1"/>
  <c r="E4" i="7"/>
  <c r="F4" i="7" s="1"/>
  <c r="I45" i="6"/>
  <c r="O43" i="6"/>
  <c r="D41" i="5"/>
  <c r="D40" i="5"/>
  <c r="D43" i="5" s="1"/>
  <c r="D42" i="5"/>
  <c r="F40" i="5"/>
  <c r="F43" i="5" s="1"/>
  <c r="F41" i="5"/>
  <c r="F42" i="5"/>
  <c r="H41" i="5"/>
  <c r="H42" i="5"/>
  <c r="H40" i="5"/>
  <c r="H43" i="5" s="1"/>
  <c r="K40" i="5"/>
  <c r="K43" i="5" s="1"/>
  <c r="K42" i="5"/>
  <c r="K41" i="5"/>
  <c r="C42" i="5"/>
  <c r="C41" i="5"/>
  <c r="E41" i="5"/>
  <c r="E42" i="5"/>
  <c r="E40" i="5"/>
  <c r="E43" i="5" s="1"/>
  <c r="G41" i="5"/>
  <c r="G40" i="5"/>
  <c r="G43" i="5" s="1"/>
  <c r="G42" i="5"/>
  <c r="I42" i="5"/>
  <c r="J42" i="5"/>
  <c r="J40" i="5"/>
  <c r="J43" i="5" s="1"/>
  <c r="J41" i="5"/>
  <c r="J56" i="5" s="1"/>
  <c r="L42" i="5"/>
  <c r="L41" i="5"/>
  <c r="L40" i="5"/>
  <c r="L43" i="5" s="1"/>
  <c r="M40" i="5"/>
  <c r="M43" i="5" s="1"/>
  <c r="M42" i="5"/>
  <c r="M41" i="5"/>
  <c r="M56" i="5" s="1"/>
  <c r="N42" i="5"/>
  <c r="N41" i="5"/>
  <c r="N40" i="5"/>
  <c r="N43" i="5" s="1"/>
  <c r="C27" i="5"/>
  <c r="C29" i="5"/>
  <c r="C28" i="5"/>
  <c r="D27" i="5"/>
  <c r="D29" i="5"/>
  <c r="D28" i="5"/>
  <c r="F27" i="5"/>
  <c r="F29" i="5"/>
  <c r="F28" i="5"/>
  <c r="H27" i="5"/>
  <c r="H29" i="5"/>
  <c r="H28" i="5"/>
  <c r="I28" i="5"/>
  <c r="I29" i="5"/>
  <c r="K29" i="5"/>
  <c r="K27" i="5"/>
  <c r="K28" i="5"/>
  <c r="L29" i="5"/>
  <c r="L27" i="5"/>
  <c r="L28" i="5"/>
  <c r="M27" i="5"/>
  <c r="M29" i="5"/>
  <c r="M28" i="5"/>
  <c r="N29" i="5"/>
  <c r="N27" i="5"/>
  <c r="N28" i="5"/>
  <c r="E28" i="5"/>
  <c r="E27" i="5"/>
  <c r="E29" i="5"/>
  <c r="G27" i="5"/>
  <c r="G28" i="5"/>
  <c r="G29" i="5"/>
  <c r="J28" i="5"/>
  <c r="J29" i="5"/>
  <c r="J27" i="5"/>
  <c r="H44" i="6"/>
  <c r="H48" i="6"/>
  <c r="G48" i="6"/>
  <c r="G44" i="6"/>
  <c r="F44" i="6"/>
  <c r="F48" i="6"/>
  <c r="E44" i="6"/>
  <c r="E48" i="6"/>
  <c r="D48" i="6"/>
  <c r="D44" i="6"/>
  <c r="D47" i="6"/>
  <c r="D66" i="6" s="1"/>
  <c r="O9" i="5"/>
  <c r="E8" i="7"/>
  <c r="F8" i="7" s="1"/>
  <c r="C40" i="5"/>
  <c r="N44" i="6"/>
  <c r="M44" i="6"/>
  <c r="L44" i="6"/>
  <c r="K44" i="6"/>
  <c r="J44" i="6"/>
  <c r="I44" i="6"/>
  <c r="C55" i="4"/>
  <c r="O55" i="4" s="1"/>
  <c r="O54" i="4"/>
  <c r="E47" i="6"/>
  <c r="E66" i="6" s="1"/>
  <c r="O9" i="6"/>
  <c r="J40" i="3"/>
  <c r="O40" i="3" s="1"/>
  <c r="O39" i="3"/>
  <c r="I30" i="5"/>
  <c r="D54" i="5" l="1"/>
  <c r="K56" i="5"/>
  <c r="I48" i="5"/>
  <c r="C49" i="6"/>
  <c r="C58" i="6" s="1"/>
  <c r="C46" i="6"/>
  <c r="C49" i="5"/>
  <c r="D49" i="5"/>
  <c r="F49" i="5"/>
  <c r="H49" i="5"/>
  <c r="G49" i="5"/>
  <c r="C54" i="5"/>
  <c r="C47" i="5"/>
  <c r="L32" i="6"/>
  <c r="L48" i="6"/>
  <c r="K32" i="6"/>
  <c r="K48" i="6"/>
  <c r="L24" i="6"/>
  <c r="L25" i="6" s="1"/>
  <c r="L62" i="6" s="1"/>
  <c r="L49" i="5"/>
  <c r="M49" i="5"/>
  <c r="N49" i="5"/>
  <c r="J48" i="5"/>
  <c r="J49" i="5"/>
  <c r="L54" i="5"/>
  <c r="K49" i="5"/>
  <c r="M32" i="6"/>
  <c r="M48" i="6"/>
  <c r="M23" i="6"/>
  <c r="M24" i="6" s="1"/>
  <c r="M25" i="6" s="1"/>
  <c r="M62" i="6" s="1"/>
  <c r="O28" i="6"/>
  <c r="E49" i="5"/>
  <c r="G54" i="5"/>
  <c r="F54" i="5"/>
  <c r="E54" i="5"/>
  <c r="H66" i="6"/>
  <c r="F66" i="6"/>
  <c r="C48" i="7"/>
  <c r="D14" i="7"/>
  <c r="G24" i="6"/>
  <c r="G25" i="6" s="1"/>
  <c r="G62" i="6" s="1"/>
  <c r="G27" i="3"/>
  <c r="G36" i="3"/>
  <c r="E27" i="3"/>
  <c r="E36" i="3"/>
  <c r="F36" i="3"/>
  <c r="F27" i="3"/>
  <c r="D26" i="3"/>
  <c r="O24" i="3"/>
  <c r="C6" i="7" s="1"/>
  <c r="E5" i="7"/>
  <c r="F5" i="7" s="1"/>
  <c r="N56" i="5"/>
  <c r="N27" i="3"/>
  <c r="N36" i="3"/>
  <c r="H36" i="3"/>
  <c r="H27" i="3"/>
  <c r="J36" i="3"/>
  <c r="J27" i="3"/>
  <c r="I36" i="3"/>
  <c r="I27" i="3"/>
  <c r="K36" i="3"/>
  <c r="K27" i="3"/>
  <c r="L36" i="3"/>
  <c r="L27" i="3"/>
  <c r="M36" i="3"/>
  <c r="M27" i="3"/>
  <c r="I47" i="5"/>
  <c r="I50" i="5" s="1"/>
  <c r="I17" i="5"/>
  <c r="J54" i="5"/>
  <c r="M54" i="5"/>
  <c r="K54" i="5"/>
  <c r="N54" i="5"/>
  <c r="G66" i="6"/>
  <c r="L56" i="5"/>
  <c r="H67" i="6"/>
  <c r="J22" i="6"/>
  <c r="O16" i="5"/>
  <c r="O15" i="5"/>
  <c r="I54" i="5"/>
  <c r="O14" i="5"/>
  <c r="D17" i="5"/>
  <c r="O45" i="6"/>
  <c r="I67" i="6"/>
  <c r="H24" i="6"/>
  <c r="H25" i="6" s="1"/>
  <c r="H62" i="6" s="1"/>
  <c r="M38" i="6"/>
  <c r="M36" i="6"/>
  <c r="M37" i="6"/>
  <c r="L37" i="6"/>
  <c r="L38" i="6"/>
  <c r="L36" i="6"/>
  <c r="K36" i="6"/>
  <c r="K37" i="6"/>
  <c r="K38" i="6"/>
  <c r="J36" i="6"/>
  <c r="J37" i="6"/>
  <c r="J38" i="6"/>
  <c r="I48" i="6"/>
  <c r="I23" i="6"/>
  <c r="I22" i="6"/>
  <c r="M29" i="6"/>
  <c r="M47" i="6"/>
  <c r="L29" i="6"/>
  <c r="L47" i="6"/>
  <c r="L66" i="6" s="1"/>
  <c r="K29" i="6"/>
  <c r="K47" i="6"/>
  <c r="K66" i="6" s="1"/>
  <c r="J29" i="6"/>
  <c r="J23" i="6"/>
  <c r="J32" i="6"/>
  <c r="J47" i="6"/>
  <c r="J66" i="6" s="1"/>
  <c r="C50" i="7"/>
  <c r="I38" i="6"/>
  <c r="I37" i="6"/>
  <c r="I36" i="6"/>
  <c r="I35" i="6"/>
  <c r="I47" i="6"/>
  <c r="O8" i="6"/>
  <c r="I29" i="6"/>
  <c r="I32" i="6"/>
  <c r="O44" i="4"/>
  <c r="O25" i="4" s="1"/>
  <c r="I20" i="6"/>
  <c r="O20" i="6" s="1"/>
  <c r="I33" i="4"/>
  <c r="O29" i="4"/>
  <c r="N38" i="6"/>
  <c r="N29" i="6"/>
  <c r="N32" i="6"/>
  <c r="N47" i="6"/>
  <c r="N66" i="6" s="1"/>
  <c r="N36" i="6"/>
  <c r="N35" i="6"/>
  <c r="N37" i="6"/>
  <c r="M33" i="4"/>
  <c r="M35" i="6"/>
  <c r="L35" i="6"/>
  <c r="L33" i="4"/>
  <c r="K33" i="4"/>
  <c r="K35" i="6"/>
  <c r="J35" i="6"/>
  <c r="J33" i="4"/>
  <c r="O32" i="4"/>
  <c r="O31" i="4"/>
  <c r="O30" i="4"/>
  <c r="N33" i="4"/>
  <c r="O44" i="6"/>
  <c r="C28" i="7" s="1"/>
  <c r="N23" i="6"/>
  <c r="N22" i="6"/>
  <c r="N24" i="6" s="1"/>
  <c r="N25" i="6" s="1"/>
  <c r="N62" i="6" s="1"/>
  <c r="O41" i="5"/>
  <c r="C56" i="5"/>
  <c r="C55" i="5"/>
  <c r="C48" i="5"/>
  <c r="D48" i="5"/>
  <c r="D55" i="5"/>
  <c r="F48" i="5"/>
  <c r="F55" i="5"/>
  <c r="H48" i="5"/>
  <c r="H55" i="5"/>
  <c r="I55" i="5"/>
  <c r="O28" i="5"/>
  <c r="I49" i="5"/>
  <c r="O29" i="5"/>
  <c r="E48" i="5"/>
  <c r="E55" i="5"/>
  <c r="G48" i="5"/>
  <c r="G55" i="5"/>
  <c r="H46" i="6"/>
  <c r="H49" i="6"/>
  <c r="G46" i="6"/>
  <c r="G49" i="6"/>
  <c r="F46" i="6"/>
  <c r="F49" i="6"/>
  <c r="E49" i="6"/>
  <c r="E46" i="6"/>
  <c r="E65" i="6" s="1"/>
  <c r="D49" i="6"/>
  <c r="D46" i="6"/>
  <c r="D65" i="6" s="1"/>
  <c r="E56" i="5"/>
  <c r="G56" i="5"/>
  <c r="I56" i="5"/>
  <c r="O42" i="5"/>
  <c r="D56" i="5"/>
  <c r="F56" i="5"/>
  <c r="H56" i="5"/>
  <c r="J55" i="5"/>
  <c r="C30" i="5"/>
  <c r="O27" i="5"/>
  <c r="D30" i="5"/>
  <c r="D47" i="5"/>
  <c r="D50" i="5" s="1"/>
  <c r="D51" i="5" s="1"/>
  <c r="F30" i="5"/>
  <c r="F47" i="5"/>
  <c r="F50" i="5" s="1"/>
  <c r="F51" i="5" s="1"/>
  <c r="H30" i="5"/>
  <c r="H47" i="5"/>
  <c r="H50" i="5" s="1"/>
  <c r="H51" i="5" s="1"/>
  <c r="K30" i="5"/>
  <c r="K47" i="5"/>
  <c r="K55" i="5"/>
  <c r="K48" i="5"/>
  <c r="L30" i="5"/>
  <c r="L47" i="5"/>
  <c r="L55" i="5"/>
  <c r="L48" i="5"/>
  <c r="M30" i="5"/>
  <c r="M47" i="5"/>
  <c r="M55" i="5"/>
  <c r="M48" i="5"/>
  <c r="N30" i="5"/>
  <c r="N47" i="5"/>
  <c r="N55" i="5"/>
  <c r="N48" i="5"/>
  <c r="E30" i="5"/>
  <c r="E47" i="5"/>
  <c r="E50" i="5" s="1"/>
  <c r="E51" i="5" s="1"/>
  <c r="G30" i="5"/>
  <c r="G47" i="5"/>
  <c r="G50" i="5" s="1"/>
  <c r="G51" i="5" s="1"/>
  <c r="J30" i="5"/>
  <c r="J47" i="5"/>
  <c r="C43" i="5"/>
  <c r="O43" i="5" s="1"/>
  <c r="O40" i="5"/>
  <c r="N46" i="6"/>
  <c r="N49" i="6"/>
  <c r="M46" i="6"/>
  <c r="M49" i="6"/>
  <c r="L46" i="6"/>
  <c r="L49" i="6"/>
  <c r="K46" i="6"/>
  <c r="K49" i="6"/>
  <c r="J46" i="6"/>
  <c r="J49" i="6"/>
  <c r="I46" i="6"/>
  <c r="I49" i="6"/>
  <c r="C36" i="3"/>
  <c r="I58" i="5" l="1"/>
  <c r="I51" i="5"/>
  <c r="C57" i="5"/>
  <c r="O17" i="5"/>
  <c r="O26" i="3"/>
  <c r="D27" i="3"/>
  <c r="D36" i="3"/>
  <c r="O36" i="3" s="1"/>
  <c r="M37" i="3"/>
  <c r="M43" i="7"/>
  <c r="L57" i="5"/>
  <c r="M57" i="5"/>
  <c r="N57" i="5"/>
  <c r="O48" i="6"/>
  <c r="C32" i="7" s="1"/>
  <c r="D32" i="7" s="1"/>
  <c r="M66" i="6"/>
  <c r="K57" i="5"/>
  <c r="J24" i="6"/>
  <c r="J25" i="6" s="1"/>
  <c r="J62" i="6" s="1"/>
  <c r="G43" i="7"/>
  <c r="G45" i="7" s="1"/>
  <c r="G37" i="3"/>
  <c r="E43" i="7"/>
  <c r="E45" i="7" s="1"/>
  <c r="E37" i="3"/>
  <c r="F43" i="7"/>
  <c r="F45" i="7" s="1"/>
  <c r="F37" i="3"/>
  <c r="N37" i="3"/>
  <c r="N43" i="7"/>
  <c r="H37" i="3"/>
  <c r="H43" i="7"/>
  <c r="H45" i="7" s="1"/>
  <c r="J37" i="3"/>
  <c r="J43" i="7"/>
  <c r="I37" i="3"/>
  <c r="I43" i="7"/>
  <c r="K37" i="3"/>
  <c r="K43" i="7"/>
  <c r="L37" i="3"/>
  <c r="L43" i="7"/>
  <c r="I66" i="6"/>
  <c r="L39" i="6"/>
  <c r="K39" i="6"/>
  <c r="H65" i="6"/>
  <c r="H69" i="6" s="1" a="1"/>
  <c r="G65" i="6"/>
  <c r="F65" i="6"/>
  <c r="C65" i="6"/>
  <c r="N65" i="6"/>
  <c r="M65" i="6"/>
  <c r="L65" i="6"/>
  <c r="K65" i="6"/>
  <c r="J65" i="6"/>
  <c r="I65" i="6"/>
  <c r="O54" i="5"/>
  <c r="C50" i="5"/>
  <c r="O47" i="5"/>
  <c r="C15" i="7" s="1"/>
  <c r="D15" i="7" s="1"/>
  <c r="N50" i="5"/>
  <c r="O67" i="6"/>
  <c r="C23" i="7"/>
  <c r="D23" i="7" s="1"/>
  <c r="O23" i="6"/>
  <c r="C20" i="7" s="1"/>
  <c r="D20" i="7" s="1"/>
  <c r="M39" i="6"/>
  <c r="I24" i="6"/>
  <c r="O22" i="6"/>
  <c r="C19" i="7" s="1"/>
  <c r="D19" i="7" s="1"/>
  <c r="H58" i="6"/>
  <c r="H59" i="6" s="1"/>
  <c r="H68" i="6"/>
  <c r="F58" i="6"/>
  <c r="E58" i="6"/>
  <c r="E59" i="6" s="1"/>
  <c r="E68" i="6"/>
  <c r="E69" i="6" s="1" a="1"/>
  <c r="D58" i="6"/>
  <c r="O47" i="6"/>
  <c r="J39" i="6"/>
  <c r="O38" i="6"/>
  <c r="O37" i="6"/>
  <c r="O36" i="6"/>
  <c r="O32" i="6"/>
  <c r="C22" i="7" s="1"/>
  <c r="I39" i="6"/>
  <c r="O35" i="6"/>
  <c r="I30" i="6"/>
  <c r="I31" i="6" s="1"/>
  <c r="O33" i="4"/>
  <c r="I45" i="4"/>
  <c r="M30" i="6"/>
  <c r="M31" i="6" s="1"/>
  <c r="M45" i="4"/>
  <c r="M46" i="4" s="1"/>
  <c r="M48" i="4" s="1"/>
  <c r="L30" i="6"/>
  <c r="L31" i="6" s="1"/>
  <c r="L45" i="4"/>
  <c r="L46" i="4" s="1"/>
  <c r="L48" i="4" s="1"/>
  <c r="K30" i="6"/>
  <c r="K31" i="6" s="1"/>
  <c r="K45" i="4"/>
  <c r="K46" i="4" s="1"/>
  <c r="K48" i="4" s="1"/>
  <c r="J30" i="6"/>
  <c r="J31" i="6" s="1"/>
  <c r="J45" i="4"/>
  <c r="J46" i="4" s="1"/>
  <c r="J48" i="4" s="1"/>
  <c r="N30" i="6"/>
  <c r="N31" i="6" s="1"/>
  <c r="N45" i="4"/>
  <c r="N46" i="4" s="1"/>
  <c r="N48" i="4" s="1"/>
  <c r="N39" i="6"/>
  <c r="O56" i="5"/>
  <c r="D57" i="5"/>
  <c r="F57" i="5"/>
  <c r="H57" i="5"/>
  <c r="E57" i="5"/>
  <c r="G57" i="5"/>
  <c r="O46" i="6"/>
  <c r="C30" i="7" s="1"/>
  <c r="D30" i="7" s="1"/>
  <c r="O30" i="5"/>
  <c r="O29" i="6"/>
  <c r="K50" i="5"/>
  <c r="K51" i="5" s="1"/>
  <c r="K58" i="5"/>
  <c r="L50" i="5"/>
  <c r="M50" i="5"/>
  <c r="J50" i="5"/>
  <c r="J51" i="5" s="1"/>
  <c r="J57" i="5"/>
  <c r="O55" i="5"/>
  <c r="O48" i="5"/>
  <c r="O49" i="5"/>
  <c r="I57" i="5"/>
  <c r="I59" i="5" s="1" a="1"/>
  <c r="G58" i="6"/>
  <c r="G59" i="6" s="1"/>
  <c r="O49" i="6"/>
  <c r="F58" i="5"/>
  <c r="C43" i="7"/>
  <c r="C45" i="7" s="1"/>
  <c r="C37" i="3"/>
  <c r="H58" i="5"/>
  <c r="G58" i="5"/>
  <c r="E58" i="5"/>
  <c r="D58" i="5"/>
  <c r="N51" i="5" l="1"/>
  <c r="N58" i="5"/>
  <c r="N59" i="5" s="1" a="1"/>
  <c r="L58" i="5"/>
  <c r="L51" i="5"/>
  <c r="M58" i="5"/>
  <c r="M51" i="5"/>
  <c r="C58" i="5"/>
  <c r="C59" i="5" s="1" a="1"/>
  <c r="C51" i="5"/>
  <c r="D37" i="3"/>
  <c r="D43" i="7"/>
  <c r="D45" i="7" s="1"/>
  <c r="C7" i="7"/>
  <c r="O27" i="3"/>
  <c r="D59" i="6"/>
  <c r="D68" i="6"/>
  <c r="D69" i="6" s="1" a="1"/>
  <c r="L59" i="5" a="1"/>
  <c r="K59" i="5" a="1"/>
  <c r="M59" i="5" a="1"/>
  <c r="D22" i="7"/>
  <c r="C54" i="7"/>
  <c r="F59" i="6"/>
  <c r="F68" i="6"/>
  <c r="F69" i="6" s="1" a="1"/>
  <c r="C68" i="6"/>
  <c r="C69" i="6" s="1" a="1"/>
  <c r="C17" i="7"/>
  <c r="D17" i="7" s="1"/>
  <c r="N64" i="6"/>
  <c r="C52" i="7"/>
  <c r="M64" i="6"/>
  <c r="J64" i="6"/>
  <c r="O65" i="6"/>
  <c r="F59" i="5" a="1"/>
  <c r="H59" i="5" a="1"/>
  <c r="G59" i="5" a="1"/>
  <c r="E59" i="5" a="1"/>
  <c r="D59" i="5" a="1"/>
  <c r="I64" i="6"/>
  <c r="C55" i="7"/>
  <c r="O24" i="6"/>
  <c r="I25" i="6"/>
  <c r="C51" i="7"/>
  <c r="C31" i="7"/>
  <c r="D31" i="7" s="1"/>
  <c r="O66" i="6"/>
  <c r="M33" i="6"/>
  <c r="M63" i="6" s="1"/>
  <c r="L33" i="6"/>
  <c r="L63" i="6"/>
  <c r="L64" i="6"/>
  <c r="K33" i="6"/>
  <c r="K63" i="6" s="1"/>
  <c r="K64" i="6"/>
  <c r="J33" i="6"/>
  <c r="J63" i="6" s="1"/>
  <c r="N33" i="6"/>
  <c r="N63" i="6"/>
  <c r="G68" i="6"/>
  <c r="G69" i="6" s="1" a="1"/>
  <c r="O45" i="4"/>
  <c r="I46" i="4"/>
  <c r="M51" i="4"/>
  <c r="M49" i="4"/>
  <c r="L49" i="4"/>
  <c r="L51" i="4"/>
  <c r="K51" i="4"/>
  <c r="K49" i="4"/>
  <c r="J51" i="4"/>
  <c r="J49" i="4"/>
  <c r="N49" i="4"/>
  <c r="N51" i="4"/>
  <c r="O39" i="6"/>
  <c r="O30" i="6"/>
  <c r="O31" i="6"/>
  <c r="I33" i="6"/>
  <c r="J58" i="5"/>
  <c r="J59" i="5" s="1" a="1"/>
  <c r="O50" i="5"/>
  <c r="O51" i="5" s="1"/>
  <c r="O57" i="5"/>
  <c r="C16" i="7"/>
  <c r="D16" i="7" s="1"/>
  <c r="C9" i="7"/>
  <c r="O37" i="3"/>
  <c r="C10" i="7" s="1"/>
  <c r="C13" i="7"/>
  <c r="C49" i="7"/>
  <c r="C58" i="7" l="1"/>
  <c r="C59" i="7" s="1"/>
  <c r="O64" i="6"/>
  <c r="I62" i="6"/>
  <c r="O25" i="6"/>
  <c r="O62" i="6" s="1"/>
  <c r="M58" i="6"/>
  <c r="M59" i="6" s="1"/>
  <c r="L58" i="6"/>
  <c r="L59" i="6" s="1"/>
  <c r="K58" i="6"/>
  <c r="K59" i="6" s="1"/>
  <c r="J58" i="6"/>
  <c r="J59" i="6" s="1"/>
  <c r="N58" i="6"/>
  <c r="N59" i="6" s="1"/>
  <c r="C21" i="7"/>
  <c r="I63" i="6"/>
  <c r="I48" i="4"/>
  <c r="O46" i="4"/>
  <c r="D6" i="7" s="1"/>
  <c r="E6" i="7" s="1"/>
  <c r="F6" i="7" s="1"/>
  <c r="M52" i="4"/>
  <c r="M44" i="7"/>
  <c r="M45" i="7" s="1"/>
  <c r="L52" i="4"/>
  <c r="L44" i="7"/>
  <c r="L45" i="7" s="1"/>
  <c r="K52" i="4"/>
  <c r="K44" i="7"/>
  <c r="K45" i="7" s="1"/>
  <c r="J44" i="7"/>
  <c r="J45" i="7" s="1"/>
  <c r="J52" i="4"/>
  <c r="N52" i="4"/>
  <c r="N44" i="7"/>
  <c r="N45" i="7" s="1"/>
  <c r="I58" i="6"/>
  <c r="O33" i="6"/>
  <c r="O63" i="6" s="1"/>
  <c r="O58" i="5"/>
  <c r="O59" i="5" s="1" a="1"/>
  <c r="D21" i="7" l="1"/>
  <c r="C24" i="7"/>
  <c r="I68" i="6"/>
  <c r="I69" i="6" s="1" a="1"/>
  <c r="I59" i="6"/>
  <c r="C53" i="7"/>
  <c r="K68" i="6"/>
  <c r="K69" i="6" s="1" a="1"/>
  <c r="M68" i="6"/>
  <c r="M69" i="6" s="1" a="1"/>
  <c r="O58" i="6"/>
  <c r="O59" i="6" s="1"/>
  <c r="L68" i="6"/>
  <c r="L69" i="6" s="1" a="1"/>
  <c r="J68" i="6"/>
  <c r="J69" i="6" s="1" a="1"/>
  <c r="N68" i="6"/>
  <c r="N69" i="6" s="1" a="1"/>
  <c r="O48" i="4"/>
  <c r="I49" i="4"/>
  <c r="I51" i="4"/>
  <c r="C57" i="7" l="1"/>
  <c r="O68" i="6"/>
  <c r="O69" i="6" s="1" a="1"/>
  <c r="C56" i="7" s="1"/>
  <c r="O49" i="4"/>
  <c r="D7" i="7"/>
  <c r="E7" i="7" s="1"/>
  <c r="F7" i="7" s="1"/>
  <c r="I44" i="7"/>
  <c r="I45" i="7" s="1"/>
  <c r="O51" i="4"/>
  <c r="C25" i="7" s="1"/>
  <c r="I52" i="4"/>
  <c r="D9" i="7" l="1"/>
  <c r="O52" i="4"/>
  <c r="D10" i="7" s="1"/>
  <c r="E10" i="7" s="1"/>
  <c r="F10" i="7" s="1"/>
  <c r="E9" i="7" l="1"/>
  <c r="F9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<sst xmlns="http://schemas.openxmlformats.org/spreadsheetml/2006/main" count="353" uniqueCount="223">
  <si>
    <t>Month</t>
  </si>
  <si>
    <t>Actual / Forecast</t>
  </si>
  <si>
    <t>Per product</t>
  </si>
  <si>
    <t>Alpha</t>
  </si>
  <si>
    <t>Beta</t>
  </si>
  <si>
    <t>Gamma</t>
  </si>
  <si>
    <t>Budget sales volume (units p.a.)</t>
  </si>
  <si>
    <t>Budget selling price (₹ / unit)</t>
  </si>
  <si>
    <t>Standard direct material (₹ / unit)</t>
  </si>
  <si>
    <t>Standard labour hours per unit</t>
  </si>
  <si>
    <t>Standard labour rate (₹ / hour)</t>
  </si>
  <si>
    <t>Standard direct labour cost (₹ / unit)</t>
  </si>
  <si>
    <t>Standard variable overhead (₹ / unit)</t>
  </si>
  <si>
    <t>Standard variable cost (₹ / unit)</t>
  </si>
  <si>
    <t>Standard contribution (₹ / unit)</t>
  </si>
  <si>
    <t>Standard fixed OH absorbed (₹ / unit)</t>
  </si>
  <si>
    <t>Budget sales mix %</t>
  </si>
  <si>
    <t>Budget labour hours p.a.</t>
  </si>
  <si>
    <t>Seasonality index</t>
  </si>
  <si>
    <t>Department</t>
  </si>
  <si>
    <t>Budgeted fixed OH (₹ p.a.)</t>
  </si>
  <si>
    <t>Budgeted variable OH rate (₹ / labour hr)</t>
  </si>
  <si>
    <t>Machining</t>
  </si>
  <si>
    <t>Assembly</t>
  </si>
  <si>
    <t>Packing</t>
  </si>
  <si>
    <t>Admin &amp; Support</t>
  </si>
  <si>
    <t>Total overheads</t>
  </si>
  <si>
    <t>Total budgeted labour hours p.a.</t>
  </si>
  <si>
    <t>Standard fixed OH absorption rate (₹ / labour hr)</t>
  </si>
  <si>
    <t>Standard variable OH rate (₹ / labour hr)</t>
  </si>
  <si>
    <t>Volume vs budget (%)</t>
  </si>
  <si>
    <t>Applied to seasonalised budget volume</t>
  </si>
  <si>
    <t>Price realisation vs budget (%)</t>
  </si>
  <si>
    <t>Achieved price uplift over budget price</t>
  </si>
  <si>
    <t>Direct material cost inflation (%)</t>
  </si>
  <si>
    <t>On standard material cost per unit</t>
  </si>
  <si>
    <t>Labour rate inflation (%)</t>
  </si>
  <si>
    <t>On standard labour rate</t>
  </si>
  <si>
    <t>Variable overhead rate inflation (%)</t>
  </si>
  <si>
    <t>On standard variable OH rate per hour</t>
  </si>
  <si>
    <t>Fixed overhead inflation (%)</t>
  </si>
  <si>
    <t>On budgeted monthly fixed OH by department</t>
  </si>
  <si>
    <t>Labour efficiency factor (actual hrs / standard hrs)</t>
  </si>
  <si>
    <t>&gt;1 = adverse efficiency</t>
  </si>
  <si>
    <t>Forecast material usage factor (actual / standard)</t>
  </si>
  <si>
    <t>&gt;1 = adverse usage</t>
  </si>
  <si>
    <t>Total units</t>
  </si>
  <si>
    <t>Total revenue</t>
  </si>
  <si>
    <t>Direct material</t>
  </si>
  <si>
    <t>Direct labour</t>
  </si>
  <si>
    <t>Variable overhead</t>
  </si>
  <si>
    <t>Total variable cost</t>
  </si>
  <si>
    <t>Contribution margin %</t>
  </si>
  <si>
    <t>Total fixed overhead</t>
  </si>
  <si>
    <t>Operating margin %</t>
  </si>
  <si>
    <t>FY Total</t>
  </si>
  <si>
    <t>Actual labour hours</t>
  </si>
  <si>
    <t>Actual labour rate (₹ / hour)</t>
  </si>
  <si>
    <t>Standard hours for actual output</t>
  </si>
  <si>
    <t>Total variable overhead</t>
  </si>
  <si>
    <t>Actual volume (units)</t>
  </si>
  <si>
    <t>Budget volume (units)</t>
  </si>
  <si>
    <t>Volume difference (units)</t>
  </si>
  <si>
    <t>Achieved price (₹ / unit)</t>
  </si>
  <si>
    <t>Budget price (₹ / unit)</t>
  </si>
  <si>
    <t>Cost &amp; Overhead Variance Analysis</t>
  </si>
  <si>
    <t>Budgeted labour hours</t>
  </si>
  <si>
    <t>Standard variable OH rate (₹ / hour)</t>
  </si>
  <si>
    <t>Standard fixed OH rate (₹ / hour)</t>
  </si>
  <si>
    <t>Actual material cost</t>
  </si>
  <si>
    <t>Standard labour cost for actual output</t>
  </si>
  <si>
    <t>Actual labour cost</t>
  </si>
  <si>
    <t>Standard labour rate for actual mix (₹ / hour)</t>
  </si>
  <si>
    <t>Check (should be nil)</t>
  </si>
  <si>
    <t>Actual variable OH cost</t>
  </si>
  <si>
    <t>Variable OH spending variance by department</t>
  </si>
  <si>
    <t>Budgeted fixed overhead</t>
  </si>
  <si>
    <t>Actual fixed overhead</t>
  </si>
  <si>
    <t>Fixed overhead absorbed (std hrs × std rate)</t>
  </si>
  <si>
    <t>Fixed OH expenditure variance by department</t>
  </si>
  <si>
    <t>Budget</t>
  </si>
  <si>
    <t>Actual + Forecast</t>
  </si>
  <si>
    <t>Variance</t>
  </si>
  <si>
    <t>F/A</t>
  </si>
  <si>
    <t>Revenue (₹)</t>
  </si>
  <si>
    <t>Total variable cost (₹)</t>
  </si>
  <si>
    <t>Contribution (₹)</t>
  </si>
  <si>
    <t>Fixed overhead (₹)</t>
  </si>
  <si>
    <t>Operating profit (₹)</t>
  </si>
  <si>
    <t>₹</t>
  </si>
  <si>
    <t>Budget operating profit</t>
  </si>
  <si>
    <t>Sales price variance</t>
  </si>
  <si>
    <t>Sales volume contribution variance</t>
  </si>
  <si>
    <t>Direct material variance</t>
  </si>
  <si>
    <t>Direct labour rate variance</t>
  </si>
  <si>
    <t>Direct labour efficiency variance</t>
  </si>
  <si>
    <t>Variable overhead expenditure variance</t>
  </si>
  <si>
    <t>Variable overhead efficiency variance</t>
  </si>
  <si>
    <t>Fixed overhead expenditure variance</t>
  </si>
  <si>
    <t>Actual + forecast operating profit</t>
  </si>
  <si>
    <t>Check — bridge vs reported profit (nil)</t>
  </si>
  <si>
    <t>Fixed overhead absorbed at standard rate</t>
  </si>
  <si>
    <t>Fixed overhead volume variance</t>
  </si>
  <si>
    <t>Monthly operating profit (₹)</t>
  </si>
  <si>
    <t>Variance driver (₹)</t>
  </si>
  <si>
    <t>Sales price</t>
  </si>
  <si>
    <t>Sales volume</t>
  </si>
  <si>
    <t>Labour rate</t>
  </si>
  <si>
    <t>Labour efficiency</t>
  </si>
  <si>
    <t>Variable OH spending</t>
  </si>
  <si>
    <t>Variable OH efficiency</t>
  </si>
  <si>
    <t>Fixed OH expenditure</t>
  </si>
  <si>
    <t>RECONCILIATION CHECKS  (all should be nil)</t>
  </si>
  <si>
    <t>Status</t>
  </si>
  <si>
    <t>Fixed OH — expenditure + volume = total fixed OH variance</t>
  </si>
  <si>
    <t>Overhead Variances — all reconciliations nil (FY)</t>
  </si>
  <si>
    <t>Overhead Variances — all reconciliations nil (every month)</t>
  </si>
  <si>
    <t>Sales Variances — all reconciliations nil (every month)</t>
  </si>
  <si>
    <t>12-Month Rolling Budget</t>
  </si>
  <si>
    <t>Variable Costs (₹)</t>
  </si>
  <si>
    <t>Contribution</t>
  </si>
  <si>
    <t>Fixed Overhead By Department (₹)</t>
  </si>
  <si>
    <t>Operating Profit</t>
  </si>
  <si>
    <t>Labour</t>
  </si>
  <si>
    <t>Total Sales Variances — All Products</t>
  </si>
  <si>
    <t>Operating Data</t>
  </si>
  <si>
    <t>Direct Material Variance</t>
  </si>
  <si>
    <t>Direct Labour Variances</t>
  </si>
  <si>
    <t>Variable Overhead Variances</t>
  </si>
  <si>
    <t>Fixed Overhead Variances</t>
  </si>
  <si>
    <t>Total Overhead Variance</t>
  </si>
  <si>
    <t>Profit Bridge — Budget To Actual + Forecast</t>
  </si>
  <si>
    <t>Overall Model Status</t>
  </si>
  <si>
    <t>Reconciliation Checks  (all should be nil)</t>
  </si>
  <si>
    <t>Labour — rate + efficiency = standard less actual labour cost</t>
  </si>
  <si>
    <t>Variable OH — spending + efficiency = total variable OH variance</t>
  </si>
  <si>
    <t>Variable OH — department spending variances = total spending variance</t>
  </si>
  <si>
    <t>Fixed OH — department expenditure variances = expenditure variance</t>
  </si>
  <si>
    <t>Total — variable + fixed = total overhead variance</t>
  </si>
  <si>
    <t>Fixed OH — capacity + efficiency = absorbed less budgeted hours at std rate</t>
  </si>
  <si>
    <t>Actual</t>
  </si>
  <si>
    <t>Forecast</t>
  </si>
  <si>
    <t>Standard Cost Assumptions</t>
  </si>
  <si>
    <t>Monthly Seasonality Index  (must sum to 12.00)</t>
  </si>
  <si>
    <t>Overhead Budget By Department</t>
  </si>
  <si>
    <t>Rolling Budget (Apr-2026 to Mar-2027)</t>
  </si>
  <si>
    <t>Check- total index</t>
  </si>
  <si>
    <t>Forecast Drivers (applied to forecast months 7-12 only)</t>
  </si>
  <si>
    <t>Volume (units)</t>
  </si>
  <si>
    <t xml:space="preserve"> Fixed OH absorbed at standard rate</t>
  </si>
  <si>
    <t>Over / (under) absorption</t>
  </si>
  <si>
    <t>Achieved Selling Price (₹ / unit)</t>
  </si>
  <si>
    <t>Sales Variance Analysis - Price, Volume, Mix &amp; Quantity</t>
  </si>
  <si>
    <t>Actuals (Apr-Sep 2026) &amp; Rolling Forecast (Oct 2026-Mar 2027)</t>
  </si>
  <si>
    <t>Sales mix variance</t>
  </si>
  <si>
    <t>Sales quantity variance</t>
  </si>
  <si>
    <t>Favourable (F) / Unfavorable (U)</t>
  </si>
  <si>
    <t xml:space="preserve">Variance Dashboard </t>
  </si>
  <si>
    <t>F/U</t>
  </si>
  <si>
    <t>Capacity variance</t>
  </si>
  <si>
    <t>Efficiency variance</t>
  </si>
  <si>
    <t xml:space="preserve">Absorption Memorandum </t>
  </si>
  <si>
    <t xml:space="preserve">Commentary </t>
  </si>
  <si>
    <t>Operating profit of ₹2,79,98,726 is ₹21,21,274 below the rolling budget of ₹3,01,20,000 (7.0%).</t>
  </si>
  <si>
    <t>Sales performance is favourable at ₹59,88,879: price ₹34,80,061 F and volume ₹25,08,818 F, of which mix ₹64,485 F and quantity ₹24,44,333 F.</t>
  </si>
  <si>
    <t>Overheads are unfavorable by ₹5,47,974: variable OH spending ₹5,10,006 U, variable OH efficiency ₹4,55,922 U, fixed OH expenditure ₹14,03,000 U.</t>
  </si>
  <si>
    <t>Fixed overhead volume variance of ₹18,20,955 F reflects higher hours worked than budget (capacity ₹35,47,934 F) offset by labour efficiency ₹17,26,979 U.</t>
  </si>
  <si>
    <t>Largest single driver: Direct material variance at ₹39,51,083 unfavorable .</t>
  </si>
  <si>
    <t xml:space="preserve">Performance Summary </t>
  </si>
  <si>
    <t>Direct costs are unfavorable by ₹57,41,225, material ₹39,51,083 U, labour rate ₹7,28,858 U, labour efficiency ₹10,61,284 U.</t>
  </si>
  <si>
    <t>Budget = annual assumption / 12 × monthly seasonality index</t>
  </si>
  <si>
    <t xml:space="preserve">Actual Variable Overhead By Department </t>
  </si>
  <si>
    <t xml:space="preserve">Actual Fixed Overhead By Department </t>
  </si>
  <si>
    <t xml:space="preserve">Cost Summary </t>
  </si>
  <si>
    <t>Standard variable OH on actual hours</t>
  </si>
  <si>
    <t>Standard variable OH on standard hours for actual output</t>
  </si>
  <si>
    <t>Standard labour hours (Volume*Standard labour hours per unit)</t>
  </si>
  <si>
    <t>Direct material (Volume*Standard direct material price per unit)</t>
  </si>
  <si>
    <t>Direct labour (Volume*Standard direct labour cost per unit)</t>
  </si>
  <si>
    <t>Variable overhead (Standard labour hours*Standard variable OH rate per hour)</t>
  </si>
  <si>
    <t xml:space="preserve"> Fixed OH absorbed at standard rate (Standard labour hours*Standard fixed OH absorption rate)</t>
  </si>
  <si>
    <t>Machining (Budgeted fixed OH/12)</t>
  </si>
  <si>
    <t>Favourable (F) / Unfavourable (U)</t>
  </si>
  <si>
    <t>Volume (units) = annual assumption / 12 × monthly seasonality index</t>
  </si>
  <si>
    <t>Sales price variance (₹)  = (Actual price − Budget price) × Actual qty</t>
  </si>
  <si>
    <t>Sales mix variance  = (Actual qty − Total actual qty × Budget mix %) × Std contribution</t>
  </si>
  <si>
    <t>Sales quantity variance  = (Total actual qty × Budget mix % − Budget qty) × Std contribution</t>
  </si>
  <si>
    <t>Total sales variance (₹)  = Price variance + Volume variance</t>
  </si>
  <si>
    <t>Sales volume contribution variance (₹)  = (Actual qty − Budget qty) × Std contribution</t>
  </si>
  <si>
    <t>Sales price variance (₹)  = Alpha + Beta + Gamma</t>
  </si>
  <si>
    <t>Sales volume contribution variance (₹)  = Alpha + Beta + Gamma</t>
  </si>
  <si>
    <t>Sales mix variance  = Alpha + Beta + Gamma</t>
  </si>
  <si>
    <t>Sales quantity variance  = Alpha + Beta + Gamma</t>
  </si>
  <si>
    <t>Total sales variance (₹)  = Total price variance + Total volume variance</t>
  </si>
  <si>
    <t>Total direct material variance  = Std material cost for actual output − Actual material cost</t>
  </si>
  <si>
    <t>Labour rate variance  = (Std rate − Actual rate) × Actual hours</t>
  </si>
  <si>
    <t>Labour efficiency variance  = (Std hours − Actual hours) × Std rate</t>
  </si>
  <si>
    <t>Total direct labour variance  = Rate variance + Efficiency variance</t>
  </si>
  <si>
    <t>Variable OH expenditure (spending) variance  = (Actual hours × Std VOH rate) − Actual VOH</t>
  </si>
  <si>
    <t>Variable OH efficiency variance  = (Std hours − Actual hours) × Std VOH rate</t>
  </si>
  <si>
    <t>Total variable overhead variance  = Spending variance + Efficiency variance</t>
  </si>
  <si>
    <t>Fixed OH expenditure variance  = Budgeted FOH − Actual FOH</t>
  </si>
  <si>
    <t>Fixed OH volume variance  = Absorbed FOH − Budgeted FOH</t>
  </si>
  <si>
    <t>Capacity variance  = (Actual hours − Budgeted hours) × Std FOH rate</t>
  </si>
  <si>
    <t>Efficiency variance  = (Std hours − Actual hours) × Std FOH rate</t>
  </si>
  <si>
    <t>Total fixed overhead variance (absorbed − actual)  = Absorbed FOH − Actual FOH</t>
  </si>
  <si>
    <t>Variable + fixed overhead variance  = Total VOH variance + Total FOH variance</t>
  </si>
  <si>
    <t>Alpha - mix + quantity = volume contribution variance</t>
  </si>
  <si>
    <t>Beta - mix + quantity = volume contribution variance</t>
  </si>
  <si>
    <t>Gamma - mix + quantity = volume contribution variance</t>
  </si>
  <si>
    <t>Total - mix + quantity = volume contribution variance</t>
  </si>
  <si>
    <t>Total - price + volume = total sales variance</t>
  </si>
  <si>
    <t>Machining  = Actual hours × Std dept VOH rate − Actual dept VOH</t>
  </si>
  <si>
    <t>Assembly  = Actual hours × Std dept VOH rate − Actual dept VOH</t>
  </si>
  <si>
    <t>Packing  = Actual hours × Std dept VOH rate − Actual dept VOH</t>
  </si>
  <si>
    <t>Admin &amp; Support  = Actual hours × Std dept VOH rate − Actual dept VOH</t>
  </si>
  <si>
    <t>Total (check vs spending variance)  = Sum of department spending variances</t>
  </si>
  <si>
    <t>Machining  = Budgeted dept FOH − Actual dept FOH</t>
  </si>
  <si>
    <t>Assembly  = Budgeted dept FOH − Actual dept FOH</t>
  </si>
  <si>
    <t>Packing  = Budgeted dept FOH − Actual dept FOH</t>
  </si>
  <si>
    <t>Admin &amp; Support  = Budgeted dept FOH − Actual dept FOH</t>
  </si>
  <si>
    <t>Total (check vs expenditure variance)  = Sum of department expenditure variances</t>
  </si>
  <si>
    <t xml:space="preserve">Standard material cost for actual output = Actual volume × Std material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</si>
</sst>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₹#,##0"/>
    <numFmt numFmtId="165" formatCode="\₹#,##0.00"/>
    <numFmt numFmtId="166" formatCode="0.0%"/>
    <numFmt numFmtId="167" formatCode="0.000"/>
    <numFmt numFmtId="168" formatCode="#,##0;\(#,##0\);&quot;-&quot;"/>
    <numFmt numFmtId="169" formatCode="\₹#,##0;\(\₹#,##0\);&quot;-&quot;"/>
    <numFmt numFmtId="170" formatCode="\₹#,##0.00;\(\₹#,##0.00\);&quot;-&quot;"/>
    <numFmt numFmtId="171" formatCode="&quot;₹&quot;\ #,##0.00"/>
  </numFmts>
  <fonts count="14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i/>
      <sz val="11"/>
      <color rgb="FF808080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6" tint="0.39997558519241921"/>
      <name val="Calibri"/>
      <family val="2"/>
    </font>
    <font>
      <sz val="11"/>
      <color theme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9" fontId="0" fillId="0" borderId="0" xfId="0" applyNumberFormat="1"/>
    <xf numFmtId="0" fontId="1" fillId="0" borderId="0" xfId="0" applyFont="1"/>
    <xf numFmtId="0" fontId="2" fillId="0" borderId="0" xfId="0" applyFont="1"/>
    <xf numFmtId="0" fontId="4" fillId="5" borderId="0" xfId="0" applyFont="1" applyFill="1"/>
    <xf numFmtId="0" fontId="2" fillId="5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3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0" fontId="4" fillId="2" borderId="0" xfId="0" applyFont="1" applyFill="1"/>
    <xf numFmtId="2" fontId="5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164" fontId="3" fillId="0" borderId="0" xfId="0" applyNumberFormat="1" applyFont="1"/>
    <xf numFmtId="3" fontId="3" fillId="0" borderId="0" xfId="0" applyNumberFormat="1" applyFont="1"/>
    <xf numFmtId="166" fontId="5" fillId="0" borderId="0" xfId="0" applyNumberFormat="1" applyFont="1"/>
    <xf numFmtId="0" fontId="6" fillId="0" borderId="0" xfId="0" applyFont="1"/>
    <xf numFmtId="167" fontId="5" fillId="0" borderId="0" xfId="0" applyNumberFormat="1" applyFont="1"/>
    <xf numFmtId="0" fontId="7" fillId="0" borderId="0" xfId="0" applyFont="1"/>
    <xf numFmtId="1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3" borderId="0" xfId="0" applyFont="1" applyFill="1"/>
    <xf numFmtId="168" fontId="2" fillId="0" borderId="0" xfId="0" applyNumberFormat="1" applyFont="1"/>
    <xf numFmtId="0" fontId="3" fillId="0" borderId="1" xfId="0" applyFont="1" applyBorder="1"/>
    <xf numFmtId="168" fontId="3" fillId="0" borderId="1" xfId="0" applyNumberFormat="1" applyFont="1" applyBorder="1"/>
    <xf numFmtId="169" fontId="2" fillId="0" borderId="0" xfId="0" applyNumberFormat="1" applyFont="1"/>
    <xf numFmtId="169" fontId="3" fillId="0" borderId="1" xfId="0" applyNumberFormat="1" applyFont="1" applyBorder="1"/>
    <xf numFmtId="0" fontId="3" fillId="4" borderId="1" xfId="0" applyFont="1" applyFill="1" applyBorder="1"/>
    <xf numFmtId="169" fontId="3" fillId="4" borderId="1" xfId="0" applyNumberFormat="1" applyFont="1" applyFill="1" applyBorder="1"/>
    <xf numFmtId="0" fontId="9" fillId="0" borderId="0" xfId="0" applyFont="1"/>
    <xf numFmtId="169" fontId="9" fillId="0" borderId="0" xfId="0" applyNumberFormat="1" applyFont="1"/>
    <xf numFmtId="168" fontId="5" fillId="0" borderId="0" xfId="0" applyNumberFormat="1" applyFont="1"/>
    <xf numFmtId="170" fontId="5" fillId="0" borderId="0" xfId="0" applyNumberFormat="1" applyFont="1"/>
    <xf numFmtId="170" fontId="2" fillId="0" borderId="0" xfId="0" applyNumberFormat="1" applyFont="1"/>
    <xf numFmtId="169" fontId="5" fillId="0" borderId="0" xfId="0" applyNumberFormat="1" applyFont="1"/>
    <xf numFmtId="0" fontId="3" fillId="0" borderId="0" xfId="0" applyFont="1" applyAlignment="1">
      <alignment horizontal="center"/>
    </xf>
    <xf numFmtId="169" fontId="6" fillId="0" borderId="0" xfId="0" applyNumberFormat="1" applyFont="1"/>
    <xf numFmtId="0" fontId="10" fillId="3" borderId="0" xfId="0" applyFont="1" applyFill="1"/>
    <xf numFmtId="0" fontId="3" fillId="4" borderId="1" xfId="0" applyFont="1" applyFill="1" applyBorder="1" applyAlignment="1">
      <alignment horizontal="center"/>
    </xf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69" fontId="3" fillId="4" borderId="1" xfId="0" applyNumberFormat="1" applyFont="1" applyFill="1" applyBorder="1" applyAlignment="1">
      <alignment horizontal="center"/>
    </xf>
    <xf numFmtId="169" fontId="4" fillId="2" borderId="0" xfId="0" applyNumberFormat="1" applyFont="1" applyFill="1" applyAlignment="1">
      <alignment horizontal="center"/>
    </xf>
    <xf numFmtId="17" fontId="11" fillId="5" borderId="0" xfId="0" applyNumberFormat="1" applyFont="1" applyFill="1" applyAlignment="1">
      <alignment horizontal="center"/>
    </xf>
    <xf numFmtId="171" fontId="3" fillId="0" borderId="0" xfId="0" applyNumberFormat="1" applyFont="1"/>
    <xf numFmtId="0" fontId="12" fillId="0" borderId="0" xfId="0" applyFont="1"/>
    <xf numFmtId="168" fontId="13" fillId="0" borderId="0" xfId="0" applyNumberFormat="1" applyFont="1"/>
    <xf numFmtId="170" fontId="13" fillId="0" borderId="0" xfId="0" applyNumberFormat="1" applyFont="1"/>
  </cellXfs>
  <cellStyles count="1">
    <cellStyle name="Normal" xfId="0" builtinId="0"/>
  </cellStyles>
  <dxfs count="26">
    <dxf>
      <font>
        <color rgb="FFC00000"/>
      </font>
    </dxf>
    <dxf>
      <font>
        <color rgb="FFC00000"/>
      </font>
    </dxf>
    <dxf>
      <font>
        <color rgb="FF008000"/>
      </font>
    </dxf>
    <dxf>
      <font>
        <color rgb="FF008000"/>
      </font>
    </dxf>
    <dxf>
      <font>
        <color rgb="FFFF0000"/>
      </font>
      <fill>
        <patternFill patternType="solid">
          <fgColor indexed="64"/>
          <bgColor rgb="FFFFC7CE"/>
        </patternFill>
      </fill>
    </dxf>
    <dxf>
      <font>
        <color rgb="FFFF0000"/>
      </font>
      <fill>
        <patternFill patternType="solid">
          <fgColor indexed="64"/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008000"/>
      </font>
    </dxf>
    <dxf>
      <font>
        <color rgb="FFFF0000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8000"/>
      </font>
    </dxf>
    <dxf>
      <font>
        <color rgb="FFFF0000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operating profit </a:t>
            </a:r>
          </a:p>
          <a:p>
            <a:pPr>
              <a:defRPr/>
            </a:pPr>
            <a:r>
              <a:rPr lang="en-US"/>
              <a:t> budget vs actual / forecast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Dashboard!$C$42:$N$42</c:f>
              <c:numCache>
                <c:formatCode>mmm\-yy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Dashboard!$C$43:$N$43</c:f>
              <c:numCache>
                <c:formatCode>\₹#,##0;\(\₹#,##0\);"-"</c:formatCode>
                <c:ptCount val="12"/>
                <c:pt idx="0">
                  <c:v>1609000.0000000009</c:v>
                </c:pt>
                <c:pt idx="1">
                  <c:v>2059500.0000000009</c:v>
                </c:pt>
                <c:pt idx="2">
                  <c:v>2510000.0000000009</c:v>
                </c:pt>
                <c:pt idx="3">
                  <c:v>2960500.0000000009</c:v>
                </c:pt>
                <c:pt idx="4">
                  <c:v>3411000.0000000009</c:v>
                </c:pt>
                <c:pt idx="5">
                  <c:v>2960500.0000000009</c:v>
                </c:pt>
                <c:pt idx="6">
                  <c:v>2059500.0000000009</c:v>
                </c:pt>
                <c:pt idx="7">
                  <c:v>1609000.0000000009</c:v>
                </c:pt>
                <c:pt idx="8">
                  <c:v>2059500.0000000009</c:v>
                </c:pt>
                <c:pt idx="9">
                  <c:v>2960500.0000000009</c:v>
                </c:pt>
                <c:pt idx="10">
                  <c:v>3411000.0000000009</c:v>
                </c:pt>
                <c:pt idx="11">
                  <c:v>2510000.0000000009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B-4511-9553-107A6ABE9320}"/>
            </c:ext>
          </c:extLst>
        </c:ser>
        <c:ser>
          <c:idx val="1"/>
          <c:order val="1"/>
          <c:tx>
            <c:strRef>
              <c:f>Dashboard!$B$44</c:f>
              <c:strCache>
                <c:ptCount val="1"/>
                <c:pt idx="0">
                  <c:v>Actual / Forecast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Dashboard!$C$42:$N$42</c:f>
              <c:numCache>
                <c:formatCode>mmm\-yy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Dashboard!$C$44:$N$44</c:f>
              <c:numCache>
                <c:formatCode>\₹#,##0;\(\₹#,##0\);"-"</c:formatCode>
                <c:ptCount val="12"/>
                <c:pt idx="0">
                  <c:v>1848002</c:v>
                </c:pt>
                <c:pt idx="1">
                  <c:v>2373596</c:v>
                </c:pt>
                <c:pt idx="2">
                  <c:v>1929632</c:v>
                </c:pt>
                <c:pt idx="3">
                  <c:v>3054609</c:v>
                </c:pt>
                <c:pt idx="4">
                  <c:v>3794048</c:v>
                </c:pt>
                <c:pt idx="5">
                  <c:v>2950729</c:v>
                </c:pt>
                <c:pt idx="6">
                  <c:v>1643696.2768999971</c:v>
                </c:pt>
                <c:pt idx="7">
                  <c:v>1206528.0518000014</c:v>
                </c:pt>
                <c:pt idx="8">
                  <c:v>1643696.2768999971</c:v>
                </c:pt>
                <c:pt idx="9">
                  <c:v>2518032.7270999961</c:v>
                </c:pt>
                <c:pt idx="10">
                  <c:v>2955200.9521999992</c:v>
                </c:pt>
                <c:pt idx="11">
                  <c:v>2080864.5019999966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B-4511-9553-107A6ABE9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142111"/>
        <c:axId val="562205743"/>
      </c:barChart>
      <c:dateAx>
        <c:axId val="6941421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05743"/>
        <c:crosses val="autoZero"/>
        <c:auto val="1"/>
        <c:lblOffset val="100"/>
        <c:baseTimeUnit val="months"/>
      </c:dateAx>
      <c:valAx>
        <c:axId val="5622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variance drivers </a:t>
            </a:r>
          </a:p>
          <a:p>
            <a:pPr>
              <a:defRPr/>
            </a:pPr>
            <a:r>
              <a:rPr lang="en-US"/>
              <a:t> full rolling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Dashboard!$B$48:$B$55</c:f>
              <c:strCache>
                <c:ptCount val="8"/>
                <c:pt idx="0">
                  <c:v>Sales price</c:v>
                </c:pt>
                <c:pt idx="1">
                  <c:v>Sales volume</c:v>
                </c:pt>
                <c:pt idx="2">
                  <c:v>Direct material</c:v>
                </c:pt>
                <c:pt idx="3">
                  <c:v>Labour rate</c:v>
                </c:pt>
                <c:pt idx="4">
                  <c:v>Labour efficiency</c:v>
                </c:pt>
                <c:pt idx="5">
                  <c:v>Variable OH spending</c:v>
                </c:pt>
                <c:pt idx="6">
                  <c:v>Variable OH efficiency</c:v>
                </c:pt>
                <c:pt idx="7">
                  <c:v>Fixed OH expenditure</c:v>
                </c:pt>
              </c:strCache>
            </c:strRef>
          </c:cat>
          <c:val>
            <c:numRef>
              <c:f>Dashboard!$C$48:$C$55</c:f>
              <c:numCache>
                <c:formatCode>\₹#,##0;\(\₹#,##0\);"-"</c:formatCode>
                <c:ptCount val="8"/>
                <c:pt idx="0">
                  <c:v>3480057.0624999851</c:v>
                </c:pt>
                <c:pt idx="1">
                  <c:v>2508720.9999999995</c:v>
                </c:pt>
                <c:pt idx="2">
                  <c:v>-3951076.8129999973</c:v>
                </c:pt>
                <c:pt idx="3">
                  <c:v>-728855.67990491167</c:v>
                </c:pt>
                <c:pt idx="4">
                  <c:v>-1061283.579095091</c:v>
                </c:pt>
                <c:pt idx="5">
                  <c:v>-510005.08359999978</c:v>
                </c:pt>
                <c:pt idx="6">
                  <c:v>-455922.12000000023</c:v>
                </c:pt>
                <c:pt idx="7">
                  <c:v>-1403000.0000000112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1-4C58-93E3-8B96848A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157471"/>
        <c:axId val="562197583"/>
      </c:barChart>
      <c:catAx>
        <c:axId val="49115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97583"/>
        <c:crosses val="autoZero"/>
        <c:auto val="1"/>
        <c:lblAlgn val="ctr"/>
        <c:lblOffset val="100"/>
        <c:noMultiLvlLbl val="0"/>
      </c:catAx>
      <c:valAx>
        <c:axId val="56219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5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124239</xdr:colOff>
      <xdr:row>60</xdr:row>
      <xdr:rowOff>138043</xdr:rowOff>
    </xdr:from>
    <xdr:to>
      <xdr:col>8</xdr:col>
      <xdr:colOff>1242391</xdr:colOff>
      <xdr:row>82</xdr:row>
      <xdr:rowOff>138044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4BD7D-ACD9-1419-B96E-4769A9E34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27609</xdr:colOff>
      <xdr:row>85</xdr:row>
      <xdr:rowOff>69022</xdr:rowOff>
    </xdr:from>
    <xdr:to>
      <xdr:col>9</xdr:col>
      <xdr:colOff>27609</xdr:colOff>
      <xdr:row>108</xdr:row>
      <xdr:rowOff>69022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2DDE4-BBC4-ECF0-50D6-1C887E919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45F63-CBF3-4D60-AC48-4D3925275CD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ed71c02-4c3e-4774-b490-21095a3b8dfd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6FCD-0CEC-4734-9428-4C2F955C4327}">
  <dimension ref="B1:O42"/>
  <sheetViews>
    <sheetView showGridLines="0" topLeftCell="A26" zoomScale="93" workbookViewId="0">
      <pane xSplit="2" topLeftCell="C1" activePane="topRight" state="frozen"/>
      <selection pane="topRight" activeCell="D44" sqref="D44"/>
    </sheetView>
  </sheetViews>
  <sheetFormatPr defaultRowHeight="14.5" x14ac:dyDescent="0.35"/>
  <cols>
    <col min="1" max="1" width="2.1796875" customWidth="1"/>
    <col min="2" max="2" width="47.90625" style="3" customWidth="1"/>
    <col min="3" max="3" width="30.6328125" style="3" customWidth="1"/>
    <col min="4" max="4" width="41.1796875" style="3" customWidth="1"/>
    <col min="5" max="5" width="22.6328125" style="3" customWidth="1"/>
    <col min="6" max="14" width="16" style="3" customWidth="1"/>
    <col min="15" max="15" width="8.7265625" style="3"/>
  </cols>
  <sheetData>
    <row r="1" spans="2:5" ht="18.5" x14ac:dyDescent="0.45">
      <c r="B1" s="2" t="s">
        <v>118</v>
      </c>
    </row>
    <row r="3" spans="2:5" x14ac:dyDescent="0.35">
      <c r="B3" s="4" t="s">
        <v>142</v>
      </c>
      <c r="C3" s="5"/>
      <c r="D3" s="5"/>
      <c r="E3" s="5"/>
    </row>
    <row r="4" spans="2:5" x14ac:dyDescent="0.35">
      <c r="B4" s="6" t="s">
        <v>2</v>
      </c>
      <c r="C4" s="7" t="s">
        <v>3</v>
      </c>
      <c r="D4" s="7" t="s">
        <v>4</v>
      </c>
      <c r="E4" s="7" t="s">
        <v>5</v>
      </c>
    </row>
    <row r="5" spans="2:5" x14ac:dyDescent="0.35">
      <c r="B5" s="3" t="s">
        <v>6</v>
      </c>
      <c r="C5" s="8">
        <v>120000</v>
      </c>
      <c r="D5" s="8">
        <v>72000</v>
      </c>
      <c r="E5" s="8">
        <v>45000</v>
      </c>
    </row>
    <row r="6" spans="2:5" x14ac:dyDescent="0.35">
      <c r="B6" s="3" t="s">
        <v>7</v>
      </c>
      <c r="C6" s="9">
        <v>850</v>
      </c>
      <c r="D6" s="9">
        <v>1250</v>
      </c>
      <c r="E6" s="9">
        <v>2100</v>
      </c>
    </row>
    <row r="7" spans="2:5" x14ac:dyDescent="0.35">
      <c r="B7" s="3" t="s">
        <v>8</v>
      </c>
      <c r="C7" s="9">
        <v>320</v>
      </c>
      <c r="D7" s="9">
        <v>480</v>
      </c>
      <c r="E7" s="9">
        <v>820</v>
      </c>
    </row>
    <row r="8" spans="2:5" x14ac:dyDescent="0.35">
      <c r="B8" s="3" t="s">
        <v>9</v>
      </c>
      <c r="C8" s="10">
        <v>0.5</v>
      </c>
      <c r="D8" s="10">
        <v>0.8</v>
      </c>
      <c r="E8" s="10">
        <v>1.2</v>
      </c>
    </row>
    <row r="9" spans="2:5" x14ac:dyDescent="0.35">
      <c r="B9" s="3" t="s">
        <v>10</v>
      </c>
      <c r="C9" s="11">
        <v>260</v>
      </c>
      <c r="D9" s="11">
        <v>280</v>
      </c>
      <c r="E9" s="11">
        <v>300</v>
      </c>
    </row>
    <row r="10" spans="2:5" x14ac:dyDescent="0.35">
      <c r="B10" s="3" t="s">
        <v>11</v>
      </c>
      <c r="C10" s="12">
        <f>C8*C9</f>
        <v>130</v>
      </c>
      <c r="D10" s="12">
        <f>D8*D9</f>
        <v>224</v>
      </c>
      <c r="E10" s="12">
        <f>E8*E9</f>
        <v>360</v>
      </c>
    </row>
    <row r="11" spans="2:5" x14ac:dyDescent="0.35">
      <c r="B11" s="3" t="s">
        <v>12</v>
      </c>
      <c r="C11" s="12">
        <f>$C8*$C$32</f>
        <v>60</v>
      </c>
      <c r="D11" s="12">
        <f>D8*$C$32</f>
        <v>96</v>
      </c>
      <c r="E11" s="12">
        <f>E8*$C$32</f>
        <v>144</v>
      </c>
    </row>
    <row r="12" spans="2:5" x14ac:dyDescent="0.35">
      <c r="B12" s="13" t="s">
        <v>13</v>
      </c>
      <c r="C12" s="14">
        <f>C7+C10+C11</f>
        <v>510</v>
      </c>
      <c r="D12" s="14">
        <f>D7+D10+D11</f>
        <v>800</v>
      </c>
      <c r="E12" s="14">
        <f>E7+E10+E11</f>
        <v>1324</v>
      </c>
    </row>
    <row r="13" spans="2:5" x14ac:dyDescent="0.35">
      <c r="B13" s="13" t="s">
        <v>14</v>
      </c>
      <c r="C13" s="14">
        <f>C6-C12</f>
        <v>340</v>
      </c>
      <c r="D13" s="14">
        <f>D6-D12</f>
        <v>450</v>
      </c>
      <c r="E13" s="14">
        <f>E6-E12</f>
        <v>776</v>
      </c>
    </row>
    <row r="14" spans="2:5" x14ac:dyDescent="0.35">
      <c r="B14" s="3" t="s">
        <v>15</v>
      </c>
      <c r="C14" s="12">
        <f>C8*$C$31</f>
        <v>227.27272727272728</v>
      </c>
      <c r="D14" s="12">
        <f>D8*$C$31</f>
        <v>363.63636363636368</v>
      </c>
      <c r="E14" s="12">
        <f>E8*$C$31</f>
        <v>545.4545454545455</v>
      </c>
    </row>
    <row r="15" spans="2:5" x14ac:dyDescent="0.35">
      <c r="B15" s="3" t="s">
        <v>16</v>
      </c>
      <c r="C15" s="15">
        <f>C5/SUM($C$5:$E$5)</f>
        <v>0.50632911392405067</v>
      </c>
      <c r="D15" s="15">
        <f>D5/SUM($C$5:$E$5)</f>
        <v>0.30379746835443039</v>
      </c>
      <c r="E15" s="15">
        <f>E5/SUM($C$5:$E$5)</f>
        <v>0.189873417721519</v>
      </c>
    </row>
    <row r="16" spans="2:5" x14ac:dyDescent="0.35">
      <c r="B16" s="3" t="s">
        <v>17</v>
      </c>
      <c r="C16" s="16">
        <f>C5*C8</f>
        <v>60000</v>
      </c>
      <c r="D16" s="16">
        <f>D5*D8</f>
        <v>57600</v>
      </c>
      <c r="E16" s="16">
        <f>E5*E8</f>
        <v>54000</v>
      </c>
    </row>
    <row r="18" spans="2:14" x14ac:dyDescent="0.35">
      <c r="B18" s="17" t="s">
        <v>143</v>
      </c>
    </row>
    <row r="19" spans="2:14" x14ac:dyDescent="0.35">
      <c r="B19" s="3" t="s">
        <v>18</v>
      </c>
      <c r="C19" s="18">
        <v>0.9</v>
      </c>
      <c r="D19" s="18">
        <v>0.95</v>
      </c>
      <c r="E19" s="18">
        <v>1</v>
      </c>
      <c r="F19" s="18">
        <v>1.05</v>
      </c>
      <c r="G19" s="18">
        <v>1.1000000000000001</v>
      </c>
      <c r="H19" s="18">
        <v>1.05</v>
      </c>
      <c r="I19" s="18">
        <v>0.95</v>
      </c>
      <c r="J19" s="18">
        <v>0.9</v>
      </c>
      <c r="K19" s="18">
        <v>0.95</v>
      </c>
      <c r="L19" s="18">
        <v>1.05</v>
      </c>
      <c r="M19" s="18">
        <v>1.1000000000000001</v>
      </c>
      <c r="N19" s="18">
        <v>1</v>
      </c>
    </row>
    <row r="20" spans="2:14" x14ac:dyDescent="0.35">
      <c r="B20" s="3" t="s">
        <v>146</v>
      </c>
      <c r="C20" s="19">
        <f>SUM(C19:N19)</f>
        <v>12</v>
      </c>
      <c r="D20" s="20" t="str">
        <f>IF(C20=12,"OK","Check —  Value should be equal to 12")</f>
        <v>OK</v>
      </c>
    </row>
    <row r="22" spans="2:14" x14ac:dyDescent="0.35">
      <c r="B22" s="17" t="s">
        <v>144</v>
      </c>
    </row>
    <row r="23" spans="2:14" ht="17" customHeight="1" x14ac:dyDescent="0.35">
      <c r="B23" s="21" t="s">
        <v>19</v>
      </c>
      <c r="C23" s="22" t="s">
        <v>20</v>
      </c>
      <c r="D23" s="22" t="s">
        <v>21</v>
      </c>
    </row>
    <row r="24" spans="2:14" x14ac:dyDescent="0.35">
      <c r="B24" s="3" t="s">
        <v>22</v>
      </c>
      <c r="C24" s="9">
        <v>32000000</v>
      </c>
      <c r="D24" s="11">
        <v>60</v>
      </c>
    </row>
    <row r="25" spans="2:14" x14ac:dyDescent="0.35">
      <c r="B25" s="3" t="s">
        <v>23</v>
      </c>
      <c r="C25" s="9">
        <v>21000000</v>
      </c>
      <c r="D25" s="11">
        <v>35</v>
      </c>
    </row>
    <row r="26" spans="2:14" x14ac:dyDescent="0.35">
      <c r="B26" s="3" t="s">
        <v>24</v>
      </c>
      <c r="C26" s="9">
        <v>9000000</v>
      </c>
      <c r="D26" s="11">
        <v>15</v>
      </c>
    </row>
    <row r="27" spans="2:14" x14ac:dyDescent="0.35">
      <c r="B27" s="3" t="s">
        <v>25</v>
      </c>
      <c r="C27" s="9">
        <v>16000000</v>
      </c>
      <c r="D27" s="11">
        <v>10</v>
      </c>
    </row>
    <row r="28" spans="2:14" x14ac:dyDescent="0.35">
      <c r="B28" s="13" t="s">
        <v>26</v>
      </c>
      <c r="C28" s="23">
        <f>SUM(C24:C27)</f>
        <v>78000000</v>
      </c>
      <c r="D28" s="14">
        <f>SUM(D24:D27)</f>
        <v>120</v>
      </c>
    </row>
    <row r="30" spans="2:14" x14ac:dyDescent="0.35">
      <c r="B30" s="13" t="s">
        <v>27</v>
      </c>
      <c r="C30" s="24">
        <f>SUM(C16:E16)</f>
        <v>171600</v>
      </c>
    </row>
    <row r="31" spans="2:14" x14ac:dyDescent="0.35">
      <c r="B31" s="13" t="s">
        <v>28</v>
      </c>
      <c r="C31" s="55">
        <f>C28/C30</f>
        <v>454.54545454545456</v>
      </c>
    </row>
    <row r="32" spans="2:14" x14ac:dyDescent="0.35">
      <c r="B32" s="13" t="s">
        <v>29</v>
      </c>
      <c r="C32" s="14">
        <f>D28</f>
        <v>120</v>
      </c>
    </row>
    <row r="34" spans="2:4" x14ac:dyDescent="0.35">
      <c r="B34" s="17" t="s">
        <v>147</v>
      </c>
    </row>
    <row r="35" spans="2:4" x14ac:dyDescent="0.35">
      <c r="B35" s="3" t="s">
        <v>30</v>
      </c>
      <c r="C35" s="25">
        <v>0.03</v>
      </c>
      <c r="D35" s="26" t="s">
        <v>31</v>
      </c>
    </row>
    <row r="36" spans="2:4" x14ac:dyDescent="0.35">
      <c r="B36" s="3" t="s">
        <v>32</v>
      </c>
      <c r="C36" s="25">
        <v>1.4999999999999999E-2</v>
      </c>
      <c r="D36" s="26" t="s">
        <v>33</v>
      </c>
    </row>
    <row r="37" spans="2:4" x14ac:dyDescent="0.35">
      <c r="B37" s="3" t="s">
        <v>34</v>
      </c>
      <c r="C37" s="25">
        <v>0.04</v>
      </c>
      <c r="D37" s="26" t="s">
        <v>35</v>
      </c>
    </row>
    <row r="38" spans="2:4" x14ac:dyDescent="0.35">
      <c r="B38" s="3" t="s">
        <v>36</v>
      </c>
      <c r="C38" s="25">
        <v>0.05</v>
      </c>
      <c r="D38" s="26" t="s">
        <v>37</v>
      </c>
    </row>
    <row r="39" spans="2:4" x14ac:dyDescent="0.35">
      <c r="B39" s="3" t="s">
        <v>38</v>
      </c>
      <c r="C39" s="25">
        <v>0.03</v>
      </c>
      <c r="D39" s="26" t="s">
        <v>39</v>
      </c>
    </row>
    <row r="40" spans="2:4" x14ac:dyDescent="0.35">
      <c r="B40" s="3" t="s">
        <v>40</v>
      </c>
      <c r="C40" s="25">
        <v>2.5000000000000001E-2</v>
      </c>
      <c r="D40" s="26" t="s">
        <v>41</v>
      </c>
    </row>
    <row r="41" spans="2:4" x14ac:dyDescent="0.35">
      <c r="B41" s="3" t="s">
        <v>42</v>
      </c>
      <c r="C41" s="27">
        <v>1.02</v>
      </c>
      <c r="D41" s="26" t="s">
        <v>43</v>
      </c>
    </row>
    <row r="42" spans="2:4" x14ac:dyDescent="0.35">
      <c r="B42" s="3" t="s">
        <v>44</v>
      </c>
      <c r="C42" s="27">
        <v>1.0149999999999999</v>
      </c>
      <c r="D42" s="2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0212-52BB-41BA-8B96-51E1D21ED3C4}">
  <dimension ref="B1:R40"/>
  <sheetViews>
    <sheetView showGridLines="0" zoomScale="60" workbookViewId="0">
      <pane xSplit="2" topLeftCell="C1" activePane="topRight" state="frozen"/>
      <selection pane="topRight" activeCell="G7" sqref="G7"/>
    </sheetView>
  </sheetViews>
  <sheetFormatPr defaultRowHeight="14.5" x14ac:dyDescent="0.35"/>
  <cols>
    <col min="1" max="1" width="2.1796875" customWidth="1"/>
    <col min="2" max="2" width="54.54296875" style="3" customWidth="1"/>
    <col min="3" max="15" width="16" style="3" customWidth="1"/>
    <col min="16" max="18" width="8.7265625" style="3"/>
  </cols>
  <sheetData>
    <row r="1" spans="2:15" ht="18.5" x14ac:dyDescent="0.45">
      <c r="B1" s="28" t="s">
        <v>145</v>
      </c>
    </row>
    <row r="2" spans="2:15" x14ac:dyDescent="0.35">
      <c r="B2" s="26" t="s">
        <v>170</v>
      </c>
    </row>
    <row r="3" spans="2:15" x14ac:dyDescent="0.35">
      <c r="B3" s="13" t="s">
        <v>0</v>
      </c>
      <c r="C3" s="29">
        <f>DATE(2026,4,1)</f>
        <v>46113</v>
      </c>
      <c r="D3" s="29">
        <f>EDATE(C3,1)</f>
        <v>46143</v>
      </c>
      <c r="E3" s="29">
        <f t="shared" ref="E3:M3" si="0">EDATE(D3,1)</f>
        <v>46174</v>
      </c>
      <c r="F3" s="29">
        <f t="shared" si="0"/>
        <v>46204</v>
      </c>
      <c r="G3" s="29">
        <f t="shared" si="0"/>
        <v>46235</v>
      </c>
      <c r="H3" s="29">
        <f t="shared" si="0"/>
        <v>46266</v>
      </c>
      <c r="I3" s="29">
        <f t="shared" si="0"/>
        <v>46296</v>
      </c>
      <c r="J3" s="29">
        <f t="shared" si="0"/>
        <v>46327</v>
      </c>
      <c r="K3" s="29">
        <f t="shared" si="0"/>
        <v>46357</v>
      </c>
      <c r="L3" s="29">
        <f t="shared" si="0"/>
        <v>46388</v>
      </c>
      <c r="M3" s="29">
        <f t="shared" si="0"/>
        <v>46419</v>
      </c>
      <c r="N3" s="29">
        <f>EDATE(M3,1)</f>
        <v>46447</v>
      </c>
      <c r="O3" s="29" t="s">
        <v>55</v>
      </c>
    </row>
    <row r="4" spans="2:15" x14ac:dyDescent="0.35">
      <c r="B4" s="13" t="s">
        <v>1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140</v>
      </c>
      <c r="H4" s="30" t="s">
        <v>140</v>
      </c>
      <c r="I4" s="30" t="s">
        <v>141</v>
      </c>
      <c r="J4" s="30" t="s">
        <v>141</v>
      </c>
      <c r="K4" s="30" t="s">
        <v>141</v>
      </c>
      <c r="L4" s="30" t="s">
        <v>141</v>
      </c>
      <c r="M4" s="30" t="s">
        <v>141</v>
      </c>
      <c r="N4" s="30" t="s">
        <v>141</v>
      </c>
      <c r="O4" s="30"/>
    </row>
    <row r="6" spans="2:15" x14ac:dyDescent="0.35">
      <c r="B6" s="31" t="s">
        <v>183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x14ac:dyDescent="0.35">
      <c r="B7" s="3" t="s">
        <v>3</v>
      </c>
      <c r="C7" s="32">
        <f>Assumptions!$C$5/12*Assumptions!C$19</f>
        <v>9000</v>
      </c>
      <c r="D7" s="32">
        <f>Assumptions!$C$5/12*Assumptions!D$19</f>
        <v>9500</v>
      </c>
      <c r="E7" s="32">
        <f>Assumptions!$C$5/12*Assumptions!E$19</f>
        <v>10000</v>
      </c>
      <c r="F7" s="32">
        <f>Assumptions!$C$5/12*Assumptions!F$19</f>
        <v>10500</v>
      </c>
      <c r="G7" s="32">
        <f>Assumptions!$C$5/12*Assumptions!G$19</f>
        <v>11000</v>
      </c>
      <c r="H7" s="32">
        <f>Assumptions!$C$5/12*Assumptions!H$19</f>
        <v>10500</v>
      </c>
      <c r="I7" s="32">
        <f>Assumptions!$C$5/12*Assumptions!I$19</f>
        <v>9500</v>
      </c>
      <c r="J7" s="32">
        <f>Assumptions!$C$5/12*Assumptions!J$19</f>
        <v>9000</v>
      </c>
      <c r="K7" s="32">
        <f>Assumptions!$C$5/12*Assumptions!K$19</f>
        <v>9500</v>
      </c>
      <c r="L7" s="32">
        <f>Assumptions!$C$5/12*Assumptions!L$19</f>
        <v>10500</v>
      </c>
      <c r="M7" s="32">
        <f>Assumptions!$C$5/12*Assumptions!M$19</f>
        <v>11000</v>
      </c>
      <c r="N7" s="32">
        <f>Assumptions!$C$5/12*Assumptions!N$19</f>
        <v>10000</v>
      </c>
      <c r="O7" s="32">
        <f>SUM(C7:N7)</f>
        <v>120000</v>
      </c>
    </row>
    <row r="8" spans="2:15" x14ac:dyDescent="0.35">
      <c r="B8" s="3" t="s">
        <v>4</v>
      </c>
      <c r="C8" s="32">
        <f>Assumptions!$D$5/12*Assumptions!C$19</f>
        <v>5400</v>
      </c>
      <c r="D8" s="32">
        <f>Assumptions!$D$5/12*Assumptions!D$19</f>
        <v>5700</v>
      </c>
      <c r="E8" s="32">
        <f>Assumptions!$D$5/12*Assumptions!E$19</f>
        <v>6000</v>
      </c>
      <c r="F8" s="32">
        <f>Assumptions!$D$5/12*Assumptions!F$19</f>
        <v>6300</v>
      </c>
      <c r="G8" s="32">
        <f>Assumptions!$D$5/12*Assumptions!G$19</f>
        <v>6600.0000000000009</v>
      </c>
      <c r="H8" s="32">
        <f>Assumptions!$D$5/12*Assumptions!H$19</f>
        <v>6300</v>
      </c>
      <c r="I8" s="32">
        <f>Assumptions!$D$5/12*Assumptions!I$19</f>
        <v>5700</v>
      </c>
      <c r="J8" s="32">
        <f>Assumptions!$D$5/12*Assumptions!J$19</f>
        <v>5400</v>
      </c>
      <c r="K8" s="32">
        <f>Assumptions!$D$5/12*Assumptions!K$19</f>
        <v>5700</v>
      </c>
      <c r="L8" s="32">
        <f>Assumptions!$D$5/12*Assumptions!L$19</f>
        <v>6300</v>
      </c>
      <c r="M8" s="32">
        <f>Assumptions!$D$5/12*Assumptions!M$19</f>
        <v>6600.0000000000009</v>
      </c>
      <c r="N8" s="32">
        <f>Assumptions!$D$5/12*Assumptions!N$19</f>
        <v>6000</v>
      </c>
      <c r="O8" s="32">
        <f>SUM(C8:N8)</f>
        <v>72000</v>
      </c>
    </row>
    <row r="9" spans="2:15" x14ac:dyDescent="0.35">
      <c r="B9" s="3" t="s">
        <v>5</v>
      </c>
      <c r="C9" s="32">
        <f>Assumptions!$E$5/12*Assumptions!C$19</f>
        <v>3375</v>
      </c>
      <c r="D9" s="32">
        <f>Assumptions!$E$5/12*Assumptions!D$19</f>
        <v>3562.5</v>
      </c>
      <c r="E9" s="32">
        <f>Assumptions!$E$5/12*Assumptions!E$19</f>
        <v>3750</v>
      </c>
      <c r="F9" s="32">
        <f>Assumptions!$E$5/12*Assumptions!F$19</f>
        <v>3937.5</v>
      </c>
      <c r="G9" s="32">
        <f>Assumptions!$E$5/12*Assumptions!G$19</f>
        <v>4125</v>
      </c>
      <c r="H9" s="32">
        <f>Assumptions!$E$5/12*Assumptions!H$19</f>
        <v>3937.5</v>
      </c>
      <c r="I9" s="32">
        <f>Assumptions!$E$5/12*Assumptions!I$19</f>
        <v>3562.5</v>
      </c>
      <c r="J9" s="32">
        <f>Assumptions!$E$5/12*Assumptions!J$19</f>
        <v>3375</v>
      </c>
      <c r="K9" s="32">
        <f>Assumptions!$E$5/12*Assumptions!K$19</f>
        <v>3562.5</v>
      </c>
      <c r="L9" s="32">
        <f>Assumptions!$E$5/12*Assumptions!L$19</f>
        <v>3937.5</v>
      </c>
      <c r="M9" s="32">
        <f>Assumptions!$E$5/12*Assumptions!M$19</f>
        <v>4125</v>
      </c>
      <c r="N9" s="32">
        <f>Assumptions!$E$5/12*Assumptions!N$19</f>
        <v>3750</v>
      </c>
      <c r="O9" s="32">
        <f>SUM(C9:N9)</f>
        <v>45000</v>
      </c>
    </row>
    <row r="10" spans="2:15" x14ac:dyDescent="0.35">
      <c r="B10" s="33" t="s">
        <v>46</v>
      </c>
      <c r="C10" s="34">
        <f>SUM(C7:C9)</f>
        <v>17775</v>
      </c>
      <c r="D10" s="34">
        <f t="shared" ref="D10:N10" si="1">SUM(D7:D9)</f>
        <v>18762.5</v>
      </c>
      <c r="E10" s="34">
        <f t="shared" si="1"/>
        <v>19750</v>
      </c>
      <c r="F10" s="34">
        <f t="shared" si="1"/>
        <v>20737.5</v>
      </c>
      <c r="G10" s="34">
        <f t="shared" si="1"/>
        <v>21725</v>
      </c>
      <c r="H10" s="34">
        <f t="shared" si="1"/>
        <v>20737.5</v>
      </c>
      <c r="I10" s="34">
        <f t="shared" si="1"/>
        <v>18762.5</v>
      </c>
      <c r="J10" s="34">
        <f t="shared" si="1"/>
        <v>17775</v>
      </c>
      <c r="K10" s="34">
        <f t="shared" si="1"/>
        <v>18762.5</v>
      </c>
      <c r="L10" s="34">
        <f t="shared" si="1"/>
        <v>20737.5</v>
      </c>
      <c r="M10" s="34">
        <f t="shared" si="1"/>
        <v>21725</v>
      </c>
      <c r="N10" s="34">
        <f t="shared" si="1"/>
        <v>19750</v>
      </c>
      <c r="O10" s="34">
        <f>SUM(C10:N10)</f>
        <v>237000</v>
      </c>
    </row>
    <row r="12" spans="2:15" x14ac:dyDescent="0.35">
      <c r="B12" s="31" t="s">
        <v>84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2:15" x14ac:dyDescent="0.35">
      <c r="B13" s="3" t="s">
        <v>3</v>
      </c>
      <c r="C13" s="35">
        <f>C7*Assumptions!$C$6</f>
        <v>7650000</v>
      </c>
      <c r="D13" s="35">
        <f>D7*Assumptions!$C$6</f>
        <v>8075000</v>
      </c>
      <c r="E13" s="35">
        <f>E7*Assumptions!$C$6</f>
        <v>8500000</v>
      </c>
      <c r="F13" s="35">
        <f>F7*Assumptions!$C$6</f>
        <v>8925000</v>
      </c>
      <c r="G13" s="35">
        <f>G7*Assumptions!$C$6</f>
        <v>9350000</v>
      </c>
      <c r="H13" s="35">
        <f>H7*Assumptions!$C$6</f>
        <v>8925000</v>
      </c>
      <c r="I13" s="35">
        <f>I7*Assumptions!$C$6</f>
        <v>8075000</v>
      </c>
      <c r="J13" s="35">
        <f>J7*Assumptions!$C$6</f>
        <v>7650000</v>
      </c>
      <c r="K13" s="35">
        <f>K7*Assumptions!$C$6</f>
        <v>8075000</v>
      </c>
      <c r="L13" s="35">
        <f>L7*Assumptions!$C$6</f>
        <v>8925000</v>
      </c>
      <c r="M13" s="35">
        <f>M7*Assumptions!$C$6</f>
        <v>9350000</v>
      </c>
      <c r="N13" s="35">
        <f>N7*Assumptions!$C$6</f>
        <v>8500000</v>
      </c>
      <c r="O13" s="35">
        <f>SUM(C13:N13)</f>
        <v>102000000</v>
      </c>
    </row>
    <row r="14" spans="2:15" x14ac:dyDescent="0.35">
      <c r="B14" s="3" t="s">
        <v>4</v>
      </c>
      <c r="C14" s="35">
        <f>C8*Assumptions!$D$6</f>
        <v>6750000</v>
      </c>
      <c r="D14" s="35">
        <f>D8*Assumptions!$D$6</f>
        <v>7125000</v>
      </c>
      <c r="E14" s="35">
        <f>E8*Assumptions!$D$6</f>
        <v>7500000</v>
      </c>
      <c r="F14" s="35">
        <f>F8*Assumptions!$D$6</f>
        <v>7875000</v>
      </c>
      <c r="G14" s="35">
        <f>G8*Assumptions!$D$6</f>
        <v>8250000.0000000009</v>
      </c>
      <c r="H14" s="35">
        <f>H8*Assumptions!$D$6</f>
        <v>7875000</v>
      </c>
      <c r="I14" s="35">
        <f>I8*Assumptions!$D$6</f>
        <v>7125000</v>
      </c>
      <c r="J14" s="35">
        <f>J8*Assumptions!$D$6</f>
        <v>6750000</v>
      </c>
      <c r="K14" s="35">
        <f>K8*Assumptions!$D$6</f>
        <v>7125000</v>
      </c>
      <c r="L14" s="35">
        <f>L8*Assumptions!$D$6</f>
        <v>7875000</v>
      </c>
      <c r="M14" s="35">
        <f>M8*Assumptions!$D$6</f>
        <v>8250000.0000000009</v>
      </c>
      <c r="N14" s="35">
        <f>N8*Assumptions!$D$6</f>
        <v>7500000</v>
      </c>
      <c r="O14" s="35">
        <f>SUM(C14:N14)</f>
        <v>90000000</v>
      </c>
    </row>
    <row r="15" spans="2:15" x14ac:dyDescent="0.35">
      <c r="B15" s="3" t="s">
        <v>5</v>
      </c>
      <c r="C15" s="35">
        <f>C9*Assumptions!$E$6</f>
        <v>7087500</v>
      </c>
      <c r="D15" s="35">
        <f>D9*Assumptions!$E$6</f>
        <v>7481250</v>
      </c>
      <c r="E15" s="35">
        <f>E9*Assumptions!$E$6</f>
        <v>7875000</v>
      </c>
      <c r="F15" s="35">
        <f>F9*Assumptions!$E$6</f>
        <v>8268750</v>
      </c>
      <c r="G15" s="35">
        <f>G9*Assumptions!$E$6</f>
        <v>8662500</v>
      </c>
      <c r="H15" s="35">
        <f>H9*Assumptions!$E$6</f>
        <v>8268750</v>
      </c>
      <c r="I15" s="35">
        <f>I9*Assumptions!$E$6</f>
        <v>7481250</v>
      </c>
      <c r="J15" s="35">
        <f>J9*Assumptions!$E$6</f>
        <v>7087500</v>
      </c>
      <c r="K15" s="35">
        <f>K9*Assumptions!$E$6</f>
        <v>7481250</v>
      </c>
      <c r="L15" s="35">
        <f>L9*Assumptions!$E$6</f>
        <v>8268750</v>
      </c>
      <c r="M15" s="35">
        <f>M9*Assumptions!$E$6</f>
        <v>8662500</v>
      </c>
      <c r="N15" s="35">
        <f>N9*Assumptions!$E$6</f>
        <v>7875000</v>
      </c>
      <c r="O15" s="35">
        <f>SUM(C15:N15)</f>
        <v>94500000</v>
      </c>
    </row>
    <row r="16" spans="2:15" x14ac:dyDescent="0.35">
      <c r="B16" s="33" t="s">
        <v>47</v>
      </c>
      <c r="C16" s="36">
        <f>SUM(C13:C15)</f>
        <v>21487500</v>
      </c>
      <c r="D16" s="36">
        <f t="shared" ref="D16:N16" si="2">SUM(D13:D15)</f>
        <v>22681250</v>
      </c>
      <c r="E16" s="36">
        <f t="shared" si="2"/>
        <v>23875000</v>
      </c>
      <c r="F16" s="36">
        <f t="shared" si="2"/>
        <v>25068750</v>
      </c>
      <c r="G16" s="36">
        <f t="shared" si="2"/>
        <v>26262500</v>
      </c>
      <c r="H16" s="36">
        <f t="shared" si="2"/>
        <v>25068750</v>
      </c>
      <c r="I16" s="36">
        <f t="shared" si="2"/>
        <v>22681250</v>
      </c>
      <c r="J16" s="36">
        <f t="shared" si="2"/>
        <v>21487500</v>
      </c>
      <c r="K16" s="36">
        <f t="shared" si="2"/>
        <v>22681250</v>
      </c>
      <c r="L16" s="36">
        <f t="shared" si="2"/>
        <v>25068750</v>
      </c>
      <c r="M16" s="36">
        <f t="shared" si="2"/>
        <v>26262500</v>
      </c>
      <c r="N16" s="36">
        <f t="shared" si="2"/>
        <v>23875000</v>
      </c>
      <c r="O16" s="36">
        <f>SUM(C16:N16)</f>
        <v>286500000</v>
      </c>
    </row>
    <row r="18" spans="2:15" x14ac:dyDescent="0.35">
      <c r="B18" s="3" t="s">
        <v>176</v>
      </c>
      <c r="C18" s="32">
        <f>C7*Assumptions!$C$8+C8*Assumptions!$D$8+C9*Assumptions!$E$8</f>
        <v>12870</v>
      </c>
      <c r="D18" s="32">
        <f>D7*Assumptions!$C$8+D8*Assumptions!$D$8+D9*Assumptions!$E$8</f>
        <v>13585</v>
      </c>
      <c r="E18" s="32">
        <f>E7*Assumptions!$C$8+E8*Assumptions!$D$8+E9*Assumptions!$E$8</f>
        <v>14300</v>
      </c>
      <c r="F18" s="32">
        <f>F7*Assumptions!$C$8+F8*Assumptions!$D$8+F9*Assumptions!$E$8</f>
        <v>15015</v>
      </c>
      <c r="G18" s="32">
        <f>G7*Assumptions!$C$8+G8*Assumptions!$D$8+G9*Assumptions!$E$8</f>
        <v>15730</v>
      </c>
      <c r="H18" s="32">
        <f>H7*Assumptions!$C$8+H8*Assumptions!$D$8+H9*Assumptions!$E$8</f>
        <v>15015</v>
      </c>
      <c r="I18" s="32">
        <f>I7*Assumptions!$C$8+I8*Assumptions!$D$8+I9*Assumptions!$E$8</f>
        <v>13585</v>
      </c>
      <c r="J18" s="32">
        <f>J7*Assumptions!$C$8+J8*Assumptions!$D$8+J9*Assumptions!$E$8</f>
        <v>12870</v>
      </c>
      <c r="K18" s="32">
        <f>K7*Assumptions!$C$8+K8*Assumptions!$D$8+K9*Assumptions!$E$8</f>
        <v>13585</v>
      </c>
      <c r="L18" s="32">
        <f>L7*Assumptions!$C$8+L8*Assumptions!$D$8+L9*Assumptions!$E$8</f>
        <v>15015</v>
      </c>
      <c r="M18" s="32">
        <f>M7*Assumptions!$C$8+M8*Assumptions!$D$8+M9*Assumptions!$E$8</f>
        <v>15730</v>
      </c>
      <c r="N18" s="32">
        <f>N7*Assumptions!$C$8+N8*Assumptions!$D$8+N9*Assumptions!$E$8</f>
        <v>14300</v>
      </c>
      <c r="O18" s="32">
        <f>SUM(C18:N18)</f>
        <v>171600</v>
      </c>
    </row>
    <row r="20" spans="2:15" x14ac:dyDescent="0.35">
      <c r="B20" s="31" t="s">
        <v>119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2:15" x14ac:dyDescent="0.35">
      <c r="B21" s="3" t="s">
        <v>177</v>
      </c>
      <c r="C21" s="35">
        <f>C7*Assumptions!$C$7+C8*Assumptions!$D$7+C9*Assumptions!$E$7</f>
        <v>8239500</v>
      </c>
      <c r="D21" s="35">
        <f>D7*Assumptions!$C$7+D8*Assumptions!$D$7+D9*Assumptions!$E$7</f>
        <v>8697250</v>
      </c>
      <c r="E21" s="35">
        <f>E7*Assumptions!$C$7+E8*Assumptions!$D$7+E9*Assumptions!$E$7</f>
        <v>9155000</v>
      </c>
      <c r="F21" s="35">
        <f>F7*Assumptions!$C$7+F8*Assumptions!$D$7+F9*Assumptions!$E$7</f>
        <v>9612750</v>
      </c>
      <c r="G21" s="35">
        <f>G7*Assumptions!$C$7+G8*Assumptions!$D$7+G9*Assumptions!$E$7</f>
        <v>10070500</v>
      </c>
      <c r="H21" s="35">
        <f>H7*Assumptions!$C$7+H8*Assumptions!$D$7+H9*Assumptions!$E$7</f>
        <v>9612750</v>
      </c>
      <c r="I21" s="35">
        <f>I7*Assumptions!$C$7+I8*Assumptions!$D$7+I9*Assumptions!$E$7</f>
        <v>8697250</v>
      </c>
      <c r="J21" s="35">
        <f>J7*Assumptions!$C$7+J8*Assumptions!$D$7+J9*Assumptions!$E$7</f>
        <v>8239500</v>
      </c>
      <c r="K21" s="35">
        <f>K7*Assumptions!$C$7+K8*Assumptions!$D$7+K9*Assumptions!$E$7</f>
        <v>8697250</v>
      </c>
      <c r="L21" s="35">
        <f>L7*Assumptions!$C$7+L8*Assumptions!$D$7+L9*Assumptions!$E$7</f>
        <v>9612750</v>
      </c>
      <c r="M21" s="35">
        <f>M7*Assumptions!$C$7+M8*Assumptions!$D$7+M9*Assumptions!$E$7</f>
        <v>10070500</v>
      </c>
      <c r="N21" s="35">
        <f>N7*Assumptions!$C$7+N8*Assumptions!$D$7+N9*Assumptions!$E$7</f>
        <v>9155000</v>
      </c>
      <c r="O21" s="35">
        <f>SUM(C21:N21)</f>
        <v>109860000</v>
      </c>
    </row>
    <row r="22" spans="2:15" x14ac:dyDescent="0.35">
      <c r="B22" s="3" t="s">
        <v>178</v>
      </c>
      <c r="C22" s="35">
        <f>C7*Assumptions!$C$10+C8*Assumptions!$D$10+C9*Assumptions!$E$10</f>
        <v>3594600</v>
      </c>
      <c r="D22" s="35">
        <f>D7*Assumptions!$C$10+D8*Assumptions!$D$10+D9*Assumptions!$E$10</f>
        <v>3794300</v>
      </c>
      <c r="E22" s="35">
        <f>E7*Assumptions!$C$10+E8*Assumptions!$D$10+E9*Assumptions!$E$10</f>
        <v>3994000</v>
      </c>
      <c r="F22" s="35">
        <f>F7*Assumptions!$C$10+F8*Assumptions!$D$10+F9*Assumptions!$E$10</f>
        <v>4193700</v>
      </c>
      <c r="G22" s="35">
        <f>G7*Assumptions!$C$10+G8*Assumptions!$D$10+G9*Assumptions!$E$10</f>
        <v>4393400</v>
      </c>
      <c r="H22" s="35">
        <f>H7*Assumptions!$C$10+H8*Assumptions!$D$10+H9*Assumptions!$E$10</f>
        <v>4193700</v>
      </c>
      <c r="I22" s="35">
        <f>I7*Assumptions!$C$10+I8*Assumptions!$D$10+I9*Assumptions!$E$10</f>
        <v>3794300</v>
      </c>
      <c r="J22" s="35">
        <f>J7*Assumptions!$C$10+J8*Assumptions!$D$10+J9*Assumptions!$E$10</f>
        <v>3594600</v>
      </c>
      <c r="K22" s="35">
        <f>K7*Assumptions!$C$10+K8*Assumptions!$D$10+K9*Assumptions!$E$10</f>
        <v>3794300</v>
      </c>
      <c r="L22" s="35">
        <f>L7*Assumptions!$C$10+L8*Assumptions!$D$10+L9*Assumptions!$E$10</f>
        <v>4193700</v>
      </c>
      <c r="M22" s="35">
        <f>M7*Assumptions!$C$10+M8*Assumptions!$D$10+M9*Assumptions!$E$10</f>
        <v>4393400</v>
      </c>
      <c r="N22" s="35">
        <f>N7*Assumptions!$C$10+N8*Assumptions!$D$10+N9*Assumptions!$E$10</f>
        <v>3994000</v>
      </c>
      <c r="O22" s="35">
        <f>SUM(C22:N22)</f>
        <v>47928000</v>
      </c>
    </row>
    <row r="23" spans="2:15" x14ac:dyDescent="0.35">
      <c r="B23" s="3" t="s">
        <v>179</v>
      </c>
      <c r="C23" s="35">
        <f>C18*Assumptions!$C$32</f>
        <v>1544400</v>
      </c>
      <c r="D23" s="35">
        <f>D18*Assumptions!$C$32</f>
        <v>1630200</v>
      </c>
      <c r="E23" s="35">
        <f>E18*Assumptions!$C$32</f>
        <v>1716000</v>
      </c>
      <c r="F23" s="35">
        <f>F18*Assumptions!$C$32</f>
        <v>1801800</v>
      </c>
      <c r="G23" s="35">
        <f>G18*Assumptions!$C$32</f>
        <v>1887600</v>
      </c>
      <c r="H23" s="35">
        <f>H18*Assumptions!$C$32</f>
        <v>1801800</v>
      </c>
      <c r="I23" s="35">
        <f>I18*Assumptions!$C$32</f>
        <v>1630200</v>
      </c>
      <c r="J23" s="35">
        <f>J18*Assumptions!$C$32</f>
        <v>1544400</v>
      </c>
      <c r="K23" s="35">
        <f>K18*Assumptions!$C$32</f>
        <v>1630200</v>
      </c>
      <c r="L23" s="35">
        <f>L18*Assumptions!$C$32</f>
        <v>1801800</v>
      </c>
      <c r="M23" s="35">
        <f>M18*Assumptions!$C$32</f>
        <v>1887600</v>
      </c>
      <c r="N23" s="35">
        <f>N18*Assumptions!$C$32</f>
        <v>1716000</v>
      </c>
      <c r="O23" s="35">
        <f>SUM(C23:N23)</f>
        <v>20592000</v>
      </c>
    </row>
    <row r="24" spans="2:15" x14ac:dyDescent="0.35">
      <c r="B24" s="33" t="s">
        <v>51</v>
      </c>
      <c r="C24" s="36">
        <f>SUM(C21:C23)</f>
        <v>13378500</v>
      </c>
      <c r="D24" s="36">
        <f t="shared" ref="D24:N24" si="3">SUM(D21:D23)</f>
        <v>14121750</v>
      </c>
      <c r="E24" s="36">
        <f t="shared" si="3"/>
        <v>14865000</v>
      </c>
      <c r="F24" s="36">
        <f t="shared" si="3"/>
        <v>15608250</v>
      </c>
      <c r="G24" s="36">
        <f t="shared" si="3"/>
        <v>16351500</v>
      </c>
      <c r="H24" s="36">
        <f t="shared" si="3"/>
        <v>15608250</v>
      </c>
      <c r="I24" s="36">
        <f t="shared" si="3"/>
        <v>14121750</v>
      </c>
      <c r="J24" s="36">
        <f t="shared" si="3"/>
        <v>13378500</v>
      </c>
      <c r="K24" s="36">
        <f t="shared" si="3"/>
        <v>14121750</v>
      </c>
      <c r="L24" s="36">
        <f t="shared" si="3"/>
        <v>15608250</v>
      </c>
      <c r="M24" s="36">
        <f t="shared" si="3"/>
        <v>16351500</v>
      </c>
      <c r="N24" s="36">
        <f t="shared" si="3"/>
        <v>14865000</v>
      </c>
      <c r="O24" s="36">
        <f>SUM(C24:N24)</f>
        <v>178380000</v>
      </c>
    </row>
    <row r="26" spans="2:15" x14ac:dyDescent="0.35">
      <c r="B26" s="33" t="s">
        <v>120</v>
      </c>
      <c r="C26" s="36">
        <f>C16-C24</f>
        <v>8109000</v>
      </c>
      <c r="D26" s="36">
        <f t="shared" ref="D26:N26" si="4">D16-D24</f>
        <v>8559500</v>
      </c>
      <c r="E26" s="36">
        <f t="shared" si="4"/>
        <v>9010000</v>
      </c>
      <c r="F26" s="36">
        <f t="shared" si="4"/>
        <v>9460500</v>
      </c>
      <c r="G26" s="36">
        <f t="shared" si="4"/>
        <v>9911000</v>
      </c>
      <c r="H26" s="36">
        <f t="shared" si="4"/>
        <v>9460500</v>
      </c>
      <c r="I26" s="36">
        <f t="shared" si="4"/>
        <v>8559500</v>
      </c>
      <c r="J26" s="36">
        <f t="shared" si="4"/>
        <v>8109000</v>
      </c>
      <c r="K26" s="36">
        <f t="shared" si="4"/>
        <v>8559500</v>
      </c>
      <c r="L26" s="36">
        <f t="shared" si="4"/>
        <v>9460500</v>
      </c>
      <c r="M26" s="36">
        <f t="shared" si="4"/>
        <v>9911000</v>
      </c>
      <c r="N26" s="36">
        <f t="shared" si="4"/>
        <v>9010000</v>
      </c>
      <c r="O26" s="36">
        <f>SUM(C26:N26)</f>
        <v>108120000</v>
      </c>
    </row>
    <row r="27" spans="2:15" x14ac:dyDescent="0.35">
      <c r="B27" s="3" t="s">
        <v>52</v>
      </c>
      <c r="C27" s="15">
        <f>IFERROR(C26/C16,0)</f>
        <v>0.37738219895287956</v>
      </c>
      <c r="D27" s="15">
        <f t="shared" ref="D27:N27" si="5">IFERROR(D26/D16,0)</f>
        <v>0.37738219895287956</v>
      </c>
      <c r="E27" s="15">
        <f t="shared" si="5"/>
        <v>0.37738219895287956</v>
      </c>
      <c r="F27" s="15">
        <f t="shared" si="5"/>
        <v>0.37738219895287956</v>
      </c>
      <c r="G27" s="15">
        <f t="shared" si="5"/>
        <v>0.37738219895287956</v>
      </c>
      <c r="H27" s="15">
        <f t="shared" si="5"/>
        <v>0.37738219895287956</v>
      </c>
      <c r="I27" s="15">
        <f t="shared" si="5"/>
        <v>0.37738219895287956</v>
      </c>
      <c r="J27" s="15">
        <f t="shared" si="5"/>
        <v>0.37738219895287956</v>
      </c>
      <c r="K27" s="15">
        <f t="shared" si="5"/>
        <v>0.37738219895287956</v>
      </c>
      <c r="L27" s="15">
        <f t="shared" si="5"/>
        <v>0.37738219895287956</v>
      </c>
      <c r="M27" s="15">
        <f t="shared" si="5"/>
        <v>0.37738219895287956</v>
      </c>
      <c r="N27" s="15">
        <f t="shared" si="5"/>
        <v>0.37738219895287956</v>
      </c>
      <c r="O27" s="15">
        <f>IFERROR(O26/O16,0)</f>
        <v>0.37738219895287956</v>
      </c>
    </row>
    <row r="29" spans="2:15" x14ac:dyDescent="0.35">
      <c r="B29" s="31" t="s">
        <v>121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2:15" x14ac:dyDescent="0.35">
      <c r="B30" s="3" t="s">
        <v>181</v>
      </c>
      <c r="C30" s="35">
        <f>Assumptions!$C$24/12</f>
        <v>2666666.6666666665</v>
      </c>
      <c r="D30" s="35">
        <f>Assumptions!$C$24/12</f>
        <v>2666666.6666666665</v>
      </c>
      <c r="E30" s="35">
        <f>Assumptions!$C$24/12</f>
        <v>2666666.6666666665</v>
      </c>
      <c r="F30" s="35">
        <f>Assumptions!$C$24/12</f>
        <v>2666666.6666666665</v>
      </c>
      <c r="G30" s="35">
        <f>Assumptions!$C$24/12</f>
        <v>2666666.6666666665</v>
      </c>
      <c r="H30" s="35">
        <f>Assumptions!$C$24/12</f>
        <v>2666666.6666666665</v>
      </c>
      <c r="I30" s="35">
        <f>Assumptions!$C$24/12</f>
        <v>2666666.6666666665</v>
      </c>
      <c r="J30" s="35">
        <f>Assumptions!$C$24/12</f>
        <v>2666666.6666666665</v>
      </c>
      <c r="K30" s="35">
        <f>Assumptions!$C$24/12</f>
        <v>2666666.6666666665</v>
      </c>
      <c r="L30" s="35">
        <f>Assumptions!$C$24/12</f>
        <v>2666666.6666666665</v>
      </c>
      <c r="M30" s="35">
        <f>Assumptions!$C$24/12</f>
        <v>2666666.6666666665</v>
      </c>
      <c r="N30" s="35">
        <f>Assumptions!$C$24/12</f>
        <v>2666666.6666666665</v>
      </c>
      <c r="O30" s="35">
        <f>SUM(C30:N30)</f>
        <v>32000000.000000004</v>
      </c>
    </row>
    <row r="31" spans="2:15" x14ac:dyDescent="0.35">
      <c r="B31" s="3" t="s">
        <v>23</v>
      </c>
      <c r="C31" s="35">
        <f>Assumptions!$C$25/12</f>
        <v>1750000</v>
      </c>
      <c r="D31" s="35">
        <f>Assumptions!$C$25/12</f>
        <v>1750000</v>
      </c>
      <c r="E31" s="35">
        <f>Assumptions!$C$25/12</f>
        <v>1750000</v>
      </c>
      <c r="F31" s="35">
        <f>Assumptions!$C$25/12</f>
        <v>1750000</v>
      </c>
      <c r="G31" s="35">
        <f>Assumptions!$C$25/12</f>
        <v>1750000</v>
      </c>
      <c r="H31" s="35">
        <f>Assumptions!$C$25/12</f>
        <v>1750000</v>
      </c>
      <c r="I31" s="35">
        <f>Assumptions!$C$25/12</f>
        <v>1750000</v>
      </c>
      <c r="J31" s="35">
        <f>Assumptions!$C$25/12</f>
        <v>1750000</v>
      </c>
      <c r="K31" s="35">
        <f>Assumptions!$C$25/12</f>
        <v>1750000</v>
      </c>
      <c r="L31" s="35">
        <f>Assumptions!$C$25/12</f>
        <v>1750000</v>
      </c>
      <c r="M31" s="35">
        <f>Assumptions!$C$25/12</f>
        <v>1750000</v>
      </c>
      <c r="N31" s="35">
        <f>Assumptions!$C$25/12</f>
        <v>1750000</v>
      </c>
      <c r="O31" s="35">
        <f>SUM(C31:N31)</f>
        <v>21000000</v>
      </c>
    </row>
    <row r="32" spans="2:15" x14ac:dyDescent="0.35">
      <c r="B32" s="3" t="s">
        <v>24</v>
      </c>
      <c r="C32" s="35">
        <f>Assumptions!$C$26/12</f>
        <v>750000</v>
      </c>
      <c r="D32" s="35">
        <f>Assumptions!$C$26/12</f>
        <v>750000</v>
      </c>
      <c r="E32" s="35">
        <f>Assumptions!$C$26/12</f>
        <v>750000</v>
      </c>
      <c r="F32" s="35">
        <f>Assumptions!$C$26/12</f>
        <v>750000</v>
      </c>
      <c r="G32" s="35">
        <f>Assumptions!$C$26/12</f>
        <v>750000</v>
      </c>
      <c r="H32" s="35">
        <f>Assumptions!$C$26/12</f>
        <v>750000</v>
      </c>
      <c r="I32" s="35">
        <f>Assumptions!$C$26/12</f>
        <v>750000</v>
      </c>
      <c r="J32" s="35">
        <f>Assumptions!$C$26/12</f>
        <v>750000</v>
      </c>
      <c r="K32" s="35">
        <f>Assumptions!$C$26/12</f>
        <v>750000</v>
      </c>
      <c r="L32" s="35">
        <f>Assumptions!$C$26/12</f>
        <v>750000</v>
      </c>
      <c r="M32" s="35">
        <f>Assumptions!$C$26/12</f>
        <v>750000</v>
      </c>
      <c r="N32" s="35">
        <f>Assumptions!$C$26/12</f>
        <v>750000</v>
      </c>
      <c r="O32" s="35">
        <f>SUM(C32:N32)</f>
        <v>9000000</v>
      </c>
    </row>
    <row r="33" spans="2:15" x14ac:dyDescent="0.35">
      <c r="B33" s="3" t="s">
        <v>25</v>
      </c>
      <c r="C33" s="35">
        <f>Assumptions!$C$27/12</f>
        <v>1333333.3333333333</v>
      </c>
      <c r="D33" s="35">
        <f>Assumptions!$C$27/12</f>
        <v>1333333.3333333333</v>
      </c>
      <c r="E33" s="35">
        <f>Assumptions!$C$27/12</f>
        <v>1333333.3333333333</v>
      </c>
      <c r="F33" s="35">
        <f>Assumptions!$C$27/12</f>
        <v>1333333.3333333333</v>
      </c>
      <c r="G33" s="35">
        <f>Assumptions!$C$27/12</f>
        <v>1333333.3333333333</v>
      </c>
      <c r="H33" s="35">
        <f>Assumptions!$C$27/12</f>
        <v>1333333.3333333333</v>
      </c>
      <c r="I33" s="35">
        <f>Assumptions!$C$27/12</f>
        <v>1333333.3333333333</v>
      </c>
      <c r="J33" s="35">
        <f>Assumptions!$C$27/12</f>
        <v>1333333.3333333333</v>
      </c>
      <c r="K33" s="35">
        <f>Assumptions!$C$27/12</f>
        <v>1333333.3333333333</v>
      </c>
      <c r="L33" s="35">
        <f>Assumptions!$C$27/12</f>
        <v>1333333.3333333333</v>
      </c>
      <c r="M33" s="35">
        <f>Assumptions!$C$27/12</f>
        <v>1333333.3333333333</v>
      </c>
      <c r="N33" s="35">
        <f>Assumptions!$C$27/12</f>
        <v>1333333.3333333333</v>
      </c>
      <c r="O33" s="35">
        <f>SUM(C33:N33)</f>
        <v>16000000.000000002</v>
      </c>
    </row>
    <row r="34" spans="2:15" x14ac:dyDescent="0.35">
      <c r="B34" s="33" t="s">
        <v>53</v>
      </c>
      <c r="C34" s="36">
        <f>SUM(C30:C33)</f>
        <v>6499999.9999999991</v>
      </c>
      <c r="D34" s="36">
        <f t="shared" ref="D34:N34" si="6">SUM(D30:D33)</f>
        <v>6499999.9999999991</v>
      </c>
      <c r="E34" s="36">
        <f t="shared" si="6"/>
        <v>6499999.9999999991</v>
      </c>
      <c r="F34" s="36">
        <f t="shared" si="6"/>
        <v>6499999.9999999991</v>
      </c>
      <c r="G34" s="36">
        <f t="shared" si="6"/>
        <v>6499999.9999999991</v>
      </c>
      <c r="H34" s="36">
        <f t="shared" si="6"/>
        <v>6499999.9999999991</v>
      </c>
      <c r="I34" s="36">
        <f t="shared" si="6"/>
        <v>6499999.9999999991</v>
      </c>
      <c r="J34" s="36">
        <f t="shared" si="6"/>
        <v>6499999.9999999991</v>
      </c>
      <c r="K34" s="36">
        <f t="shared" si="6"/>
        <v>6499999.9999999991</v>
      </c>
      <c r="L34" s="36">
        <f t="shared" si="6"/>
        <v>6499999.9999999991</v>
      </c>
      <c r="M34" s="36">
        <f t="shared" si="6"/>
        <v>6499999.9999999991</v>
      </c>
      <c r="N34" s="36">
        <f t="shared" si="6"/>
        <v>6499999.9999999991</v>
      </c>
      <c r="O34" s="36">
        <f>SUM(C34:N34)</f>
        <v>77999999.999999985</v>
      </c>
    </row>
    <row r="36" spans="2:15" x14ac:dyDescent="0.35">
      <c r="B36" s="37" t="s">
        <v>122</v>
      </c>
      <c r="C36" s="38">
        <f>C26-C34</f>
        <v>1609000.0000000009</v>
      </c>
      <c r="D36" s="38">
        <f t="shared" ref="D36:N36" si="7">D26-D34</f>
        <v>2059500.0000000009</v>
      </c>
      <c r="E36" s="38">
        <f t="shared" si="7"/>
        <v>2510000.0000000009</v>
      </c>
      <c r="F36" s="38">
        <f t="shared" si="7"/>
        <v>2960500.0000000009</v>
      </c>
      <c r="G36" s="38">
        <f t="shared" si="7"/>
        <v>3411000.0000000009</v>
      </c>
      <c r="H36" s="38">
        <f t="shared" si="7"/>
        <v>2960500.0000000009</v>
      </c>
      <c r="I36" s="38">
        <f t="shared" si="7"/>
        <v>2059500.0000000009</v>
      </c>
      <c r="J36" s="38">
        <f t="shared" si="7"/>
        <v>1609000.0000000009</v>
      </c>
      <c r="K36" s="38">
        <f t="shared" si="7"/>
        <v>2059500.0000000009</v>
      </c>
      <c r="L36" s="38">
        <f t="shared" si="7"/>
        <v>2960500.0000000009</v>
      </c>
      <c r="M36" s="38">
        <f t="shared" si="7"/>
        <v>3411000.0000000009</v>
      </c>
      <c r="N36" s="38">
        <f t="shared" si="7"/>
        <v>2510000.0000000009</v>
      </c>
      <c r="O36" s="38">
        <f>SUM(C36:N36)</f>
        <v>30120000.000000004</v>
      </c>
    </row>
    <row r="37" spans="2:15" x14ac:dyDescent="0.35">
      <c r="B37" s="3" t="s">
        <v>54</v>
      </c>
      <c r="C37" s="15">
        <f>IFERROR(C36/C16,0)</f>
        <v>7.4880744618964559E-2</v>
      </c>
      <c r="D37" s="15">
        <f t="shared" ref="D37:N37" si="8">IFERROR(D36/D16,0)</f>
        <v>9.0801873794433774E-2</v>
      </c>
      <c r="E37" s="15">
        <f t="shared" si="8"/>
        <v>0.10513089005235605</v>
      </c>
      <c r="F37" s="15">
        <f t="shared" si="8"/>
        <v>0.11809523809523813</v>
      </c>
      <c r="G37" s="15">
        <f t="shared" si="8"/>
        <v>0.12988100904331273</v>
      </c>
      <c r="H37" s="15">
        <f t="shared" si="8"/>
        <v>0.11809523809523813</v>
      </c>
      <c r="I37" s="15">
        <f t="shared" si="8"/>
        <v>9.0801873794433774E-2</v>
      </c>
      <c r="J37" s="15">
        <f t="shared" si="8"/>
        <v>7.4880744618964559E-2</v>
      </c>
      <c r="K37" s="15">
        <f t="shared" si="8"/>
        <v>9.0801873794433774E-2</v>
      </c>
      <c r="L37" s="15">
        <f t="shared" si="8"/>
        <v>0.11809523809523813</v>
      </c>
      <c r="M37" s="15">
        <f t="shared" si="8"/>
        <v>0.12988100904331273</v>
      </c>
      <c r="N37" s="15">
        <f t="shared" si="8"/>
        <v>0.10513089005235605</v>
      </c>
      <c r="O37" s="15">
        <f>IFERROR(O36/O16,0)</f>
        <v>0.10513089005235604</v>
      </c>
    </row>
    <row r="39" spans="2:15" x14ac:dyDescent="0.35">
      <c r="B39" s="39" t="s">
        <v>180</v>
      </c>
      <c r="C39" s="40">
        <f>C18*Assumptions!$C$31</f>
        <v>5850000</v>
      </c>
      <c r="D39" s="40">
        <f>D18*Assumptions!$C$31</f>
        <v>6175000</v>
      </c>
      <c r="E39" s="40">
        <f>E18*Assumptions!$C$31</f>
        <v>6500000</v>
      </c>
      <c r="F39" s="40">
        <f>F18*Assumptions!$C$31</f>
        <v>6825000</v>
      </c>
      <c r="G39" s="40">
        <f>G18*Assumptions!$C$31</f>
        <v>7150000</v>
      </c>
      <c r="H39" s="40">
        <f>H18*Assumptions!$C$31</f>
        <v>6825000</v>
      </c>
      <c r="I39" s="40">
        <f>I18*Assumptions!$C$31</f>
        <v>6175000</v>
      </c>
      <c r="J39" s="40">
        <f>J18*Assumptions!$C$31</f>
        <v>5850000</v>
      </c>
      <c r="K39" s="40">
        <f>K18*Assumptions!$C$31</f>
        <v>6175000</v>
      </c>
      <c r="L39" s="40">
        <f>L18*Assumptions!$C$31</f>
        <v>6825000</v>
      </c>
      <c r="M39" s="40">
        <f>M18*Assumptions!$C$31</f>
        <v>7150000</v>
      </c>
      <c r="N39" s="40">
        <f>N18*Assumptions!$C$31</f>
        <v>6500000</v>
      </c>
      <c r="O39" s="40">
        <f>SUM(C39:N39)</f>
        <v>78000000</v>
      </c>
    </row>
    <row r="40" spans="2:15" x14ac:dyDescent="0.35">
      <c r="B40" s="39" t="s">
        <v>150</v>
      </c>
      <c r="C40" s="40">
        <f>C39-C34</f>
        <v>-649999.99999999907</v>
      </c>
      <c r="D40" s="40">
        <f t="shared" ref="D40:N40" si="9">D39-D34</f>
        <v>-324999.99999999907</v>
      </c>
      <c r="E40" s="40">
        <f t="shared" si="9"/>
        <v>0</v>
      </c>
      <c r="F40" s="40">
        <f t="shared" si="9"/>
        <v>325000.00000000093</v>
      </c>
      <c r="G40" s="40">
        <f t="shared" si="9"/>
        <v>650000.00000000093</v>
      </c>
      <c r="H40" s="40">
        <f t="shared" si="9"/>
        <v>325000.00000000093</v>
      </c>
      <c r="I40" s="40">
        <f t="shared" si="9"/>
        <v>-324999.99999999907</v>
      </c>
      <c r="J40" s="40">
        <f t="shared" si="9"/>
        <v>-649999.99999999907</v>
      </c>
      <c r="K40" s="40">
        <f t="shared" si="9"/>
        <v>-324999.99999999907</v>
      </c>
      <c r="L40" s="40">
        <f t="shared" si="9"/>
        <v>325000.00000000093</v>
      </c>
      <c r="M40" s="40">
        <f t="shared" si="9"/>
        <v>650000.00000000093</v>
      </c>
      <c r="N40" s="40">
        <f t="shared" si="9"/>
        <v>0</v>
      </c>
      <c r="O40" s="40">
        <f>SUM(C40:N40)</f>
        <v>9.3132257461547852E-9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F265-E83B-4863-8B31-6BD59FDB10FE}">
  <dimension ref="B1:O55"/>
  <sheetViews>
    <sheetView showGridLines="0" zoomScale="70" workbookViewId="0">
      <pane xSplit="2" topLeftCell="C1" activePane="topRight" state="frozen"/>
      <selection pane="topRight" activeCell="C7" sqref="C7"/>
    </sheetView>
  </sheetViews>
  <sheetFormatPr defaultRowHeight="14.5" x14ac:dyDescent="0.35"/>
  <cols>
    <col min="1" max="1" width="2.1796875" customWidth="1"/>
    <col min="2" max="2" width="54.54296875" style="3" customWidth="1"/>
    <col min="3" max="15" width="16" style="3" customWidth="1"/>
  </cols>
  <sheetData>
    <row r="1" spans="2:15" ht="18.5" x14ac:dyDescent="0.45">
      <c r="B1" s="28" t="s">
        <v>153</v>
      </c>
    </row>
    <row r="2" spans="2:15" x14ac:dyDescent="0.35">
      <c r="B2" s="26"/>
      <c r="I2" s="32"/>
    </row>
    <row r="3" spans="2:15" x14ac:dyDescent="0.35">
      <c r="B3" s="13" t="s">
        <v>0</v>
      </c>
      <c r="C3" s="29">
        <f>DATE(2026,4,1)</f>
        <v>46113</v>
      </c>
      <c r="D3" s="29">
        <f>EDATE(C3,1)</f>
        <v>46143</v>
      </c>
      <c r="E3" s="29">
        <f t="shared" ref="E3:M3" si="0">EDATE(D3,1)</f>
        <v>46174</v>
      </c>
      <c r="F3" s="29">
        <f t="shared" si="0"/>
        <v>46204</v>
      </c>
      <c r="G3" s="29">
        <f t="shared" si="0"/>
        <v>46235</v>
      </c>
      <c r="H3" s="29">
        <f t="shared" si="0"/>
        <v>46266</v>
      </c>
      <c r="I3" s="29">
        <f t="shared" si="0"/>
        <v>46296</v>
      </c>
      <c r="J3" s="29">
        <f t="shared" si="0"/>
        <v>46327</v>
      </c>
      <c r="K3" s="29">
        <f t="shared" si="0"/>
        <v>46357</v>
      </c>
      <c r="L3" s="29">
        <f t="shared" si="0"/>
        <v>46388</v>
      </c>
      <c r="M3" s="29">
        <f t="shared" si="0"/>
        <v>46419</v>
      </c>
      <c r="N3" s="29">
        <f>EDATE(M3,1)</f>
        <v>46447</v>
      </c>
      <c r="O3" s="29" t="s">
        <v>55</v>
      </c>
    </row>
    <row r="4" spans="2:15" x14ac:dyDescent="0.35">
      <c r="B4" s="13" t="s">
        <v>1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140</v>
      </c>
      <c r="H4" s="30" t="s">
        <v>140</v>
      </c>
      <c r="I4" s="30" t="s">
        <v>141</v>
      </c>
      <c r="J4" s="30" t="s">
        <v>141</v>
      </c>
      <c r="K4" s="30" t="s">
        <v>141</v>
      </c>
      <c r="L4" s="30" t="s">
        <v>141</v>
      </c>
      <c r="M4" s="30" t="s">
        <v>141</v>
      </c>
      <c r="N4" s="30" t="s">
        <v>141</v>
      </c>
      <c r="O4" s="30"/>
    </row>
    <row r="6" spans="2:15" x14ac:dyDescent="0.35">
      <c r="B6" s="31" t="s">
        <v>148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x14ac:dyDescent="0.35">
      <c r="B7" s="3" t="s">
        <v>3</v>
      </c>
      <c r="C7" s="41">
        <v>9360</v>
      </c>
      <c r="D7" s="41">
        <v>9310</v>
      </c>
      <c r="E7" s="41">
        <v>10600</v>
      </c>
      <c r="F7" s="41">
        <v>10605</v>
      </c>
      <c r="G7" s="41">
        <v>10450</v>
      </c>
      <c r="H7" s="41">
        <v>10815</v>
      </c>
      <c r="I7" s="32">
        <f>(Assumptions!$C$5/12*Assumptions!I$19*(1+Assumptions!$C$35))</f>
        <v>9785</v>
      </c>
      <c r="J7" s="32">
        <f>(Assumptions!$C$5/12*Assumptions!J$19*(1+Assumptions!$C$35))</f>
        <v>9270</v>
      </c>
      <c r="K7" s="32">
        <f>(Assumptions!$C$5/12*Assumptions!K$19*(1+Assumptions!$C$35))</f>
        <v>9785</v>
      </c>
      <c r="L7" s="32">
        <f>(Assumptions!$C$5/12*Assumptions!L$19*(1+Assumptions!$C$35))</f>
        <v>10815</v>
      </c>
      <c r="M7" s="32">
        <f>(Assumptions!$C$5/12*Assumptions!M$19*(1+Assumptions!$C$35))</f>
        <v>11330</v>
      </c>
      <c r="N7" s="32">
        <f>(Assumptions!$C$5/12*Assumptions!N$19*(1+Assumptions!$C$35))</f>
        <v>10300</v>
      </c>
      <c r="O7" s="32">
        <f>SUM(C7:N7)</f>
        <v>122425</v>
      </c>
    </row>
    <row r="8" spans="2:15" x14ac:dyDescent="0.35">
      <c r="B8" s="3" t="s">
        <v>4</v>
      </c>
      <c r="C8" s="41">
        <v>5184</v>
      </c>
      <c r="D8" s="41">
        <v>5814</v>
      </c>
      <c r="E8" s="41">
        <v>5940</v>
      </c>
      <c r="F8" s="41">
        <v>6615</v>
      </c>
      <c r="G8" s="41">
        <v>7128</v>
      </c>
      <c r="H8" s="41">
        <v>6363</v>
      </c>
      <c r="I8" s="32">
        <f>(Assumptions!$D$5/12*Assumptions!I$19*(1+Assumptions!$C$35))</f>
        <v>5871</v>
      </c>
      <c r="J8" s="32">
        <f>(Assumptions!$D$5/12*Assumptions!J$19*(1+Assumptions!$C$35))</f>
        <v>5562</v>
      </c>
      <c r="K8" s="32">
        <f>(Assumptions!$D$5/12*Assumptions!K$19*(1+Assumptions!$C$35))</f>
        <v>5871</v>
      </c>
      <c r="L8" s="32">
        <f>(Assumptions!$D$5/12*Assumptions!L$19*(1+Assumptions!$C$35))</f>
        <v>6489</v>
      </c>
      <c r="M8" s="32">
        <f>(Assumptions!$D$5/12*Assumptions!M$19*(1+Assumptions!$C$35))</f>
        <v>6798.0000000000009</v>
      </c>
      <c r="N8" s="32">
        <f>(Assumptions!$D$5/12*Assumptions!N$19*(1+Assumptions!$C$35))</f>
        <v>6180</v>
      </c>
      <c r="O8" s="32">
        <f>SUM(C8:N8)</f>
        <v>73815</v>
      </c>
    </row>
    <row r="9" spans="2:15" x14ac:dyDescent="0.35">
      <c r="B9" s="3" t="s">
        <v>5</v>
      </c>
      <c r="C9" s="41">
        <v>3713</v>
      </c>
      <c r="D9" s="41">
        <v>3741</v>
      </c>
      <c r="E9" s="41">
        <v>3638</v>
      </c>
      <c r="F9" s="41">
        <v>3662</v>
      </c>
      <c r="G9" s="41">
        <v>4208</v>
      </c>
      <c r="H9" s="41">
        <v>4174</v>
      </c>
      <c r="I9" s="32">
        <f>(Assumptions!$E$5/12*Assumptions!I$19*(1+Assumptions!$C$35))</f>
        <v>3669.375</v>
      </c>
      <c r="J9" s="32">
        <f>(Assumptions!$E$5/12*Assumptions!J$19*(1+Assumptions!$C$35))</f>
        <v>3476.25</v>
      </c>
      <c r="K9" s="32">
        <f>(Assumptions!$E$5/12*Assumptions!K$19*(1+Assumptions!$C$35))</f>
        <v>3669.375</v>
      </c>
      <c r="L9" s="32">
        <f>(Assumptions!$E$5/12*Assumptions!L$19*(1+Assumptions!$C$35))</f>
        <v>4055.625</v>
      </c>
      <c r="M9" s="32">
        <f>(Assumptions!$E$5/12*Assumptions!M$19*(1+Assumptions!$C$35))</f>
        <v>4248.75</v>
      </c>
      <c r="N9" s="32">
        <f>(Assumptions!$E$5/12*Assumptions!N$19*(1+Assumptions!$C$35))</f>
        <v>3862.5</v>
      </c>
      <c r="O9" s="32">
        <f>SUM(C9:N9)</f>
        <v>46117.875</v>
      </c>
    </row>
    <row r="10" spans="2:15" x14ac:dyDescent="0.35">
      <c r="B10" s="33" t="s">
        <v>46</v>
      </c>
      <c r="C10" s="34">
        <f>SUM(C7:C9)</f>
        <v>18257</v>
      </c>
      <c r="D10" s="34">
        <f t="shared" ref="D10:N10" si="1">SUM(D7:D9)</f>
        <v>18865</v>
      </c>
      <c r="E10" s="34">
        <f t="shared" si="1"/>
        <v>20178</v>
      </c>
      <c r="F10" s="34">
        <f t="shared" si="1"/>
        <v>20882</v>
      </c>
      <c r="G10" s="34">
        <f t="shared" si="1"/>
        <v>21786</v>
      </c>
      <c r="H10" s="34">
        <f t="shared" si="1"/>
        <v>21352</v>
      </c>
      <c r="I10" s="34">
        <f t="shared" si="1"/>
        <v>19325.375</v>
      </c>
      <c r="J10" s="34">
        <f t="shared" si="1"/>
        <v>18308.25</v>
      </c>
      <c r="K10" s="34">
        <f t="shared" si="1"/>
        <v>19325.375</v>
      </c>
      <c r="L10" s="34">
        <f t="shared" si="1"/>
        <v>21359.625</v>
      </c>
      <c r="M10" s="34">
        <f t="shared" si="1"/>
        <v>22376.75</v>
      </c>
      <c r="N10" s="34">
        <f t="shared" si="1"/>
        <v>20342.5</v>
      </c>
      <c r="O10" s="34">
        <f>SUM(C10:N10)</f>
        <v>242357.875</v>
      </c>
    </row>
    <row r="12" spans="2:15" x14ac:dyDescent="0.35">
      <c r="B12" s="31" t="s">
        <v>151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2:15" x14ac:dyDescent="0.35">
      <c r="B13" s="3" t="s">
        <v>3</v>
      </c>
      <c r="C13" s="42">
        <v>862</v>
      </c>
      <c r="D13" s="42">
        <v>855</v>
      </c>
      <c r="E13" s="42">
        <v>845</v>
      </c>
      <c r="F13" s="42">
        <v>870</v>
      </c>
      <c r="G13" s="42">
        <v>858</v>
      </c>
      <c r="H13" s="42">
        <v>866</v>
      </c>
      <c r="I13" s="43">
        <f>Assumptions!$C$6*(1+Assumptions!$C$36)</f>
        <v>862.74999999999989</v>
      </c>
      <c r="J13" s="43">
        <f>Assumptions!$C$6*(1+Assumptions!$C$36)</f>
        <v>862.74999999999989</v>
      </c>
      <c r="K13" s="43">
        <f>Assumptions!$C$6*(1+Assumptions!$C$36)</f>
        <v>862.74999999999989</v>
      </c>
      <c r="L13" s="43">
        <f>Assumptions!$C$6*(1+Assumptions!$C$36)</f>
        <v>862.74999999999989</v>
      </c>
      <c r="M13" s="43">
        <f>Assumptions!$C$6*(1+Assumptions!$C$36)</f>
        <v>862.74999999999989</v>
      </c>
      <c r="N13" s="43">
        <f>Assumptions!$C$6*(1+Assumptions!$C$36)</f>
        <v>862.74999999999989</v>
      </c>
      <c r="O13" s="43">
        <f>IFERROR(O18/O7,0)</f>
        <v>861.07611803144778</v>
      </c>
    </row>
    <row r="14" spans="2:15" x14ac:dyDescent="0.35">
      <c r="B14" s="3" t="s">
        <v>4</v>
      </c>
      <c r="C14" s="42">
        <v>1235</v>
      </c>
      <c r="D14" s="42">
        <v>1262</v>
      </c>
      <c r="E14" s="42">
        <v>1270</v>
      </c>
      <c r="F14" s="42">
        <v>1248</v>
      </c>
      <c r="G14" s="42">
        <v>1255</v>
      </c>
      <c r="H14" s="42">
        <v>1240</v>
      </c>
      <c r="I14" s="43">
        <f>Assumptions!$D$6*(1+Assumptions!$C$36)</f>
        <v>1268.7499999999998</v>
      </c>
      <c r="J14" s="43">
        <f>Assumptions!$D$6*(1+Assumptions!$C$36)</f>
        <v>1268.7499999999998</v>
      </c>
      <c r="K14" s="43">
        <f>Assumptions!$D$6*(1+Assumptions!$C$36)</f>
        <v>1268.7499999999998</v>
      </c>
      <c r="L14" s="43">
        <f>Assumptions!$D$6*(1+Assumptions!$C$36)</f>
        <v>1268.7499999999998</v>
      </c>
      <c r="M14" s="43">
        <f>Assumptions!$D$6*(1+Assumptions!$C$36)</f>
        <v>1268.7499999999998</v>
      </c>
      <c r="N14" s="43">
        <f>Assumptions!$D$6*(1+Assumptions!$C$36)</f>
        <v>1268.7499999999998</v>
      </c>
      <c r="O14" s="43">
        <f>IFERROR(O19/O8,0)</f>
        <v>1260.2830623856939</v>
      </c>
    </row>
    <row r="15" spans="2:15" x14ac:dyDescent="0.35">
      <c r="B15" s="3" t="s">
        <v>5</v>
      </c>
      <c r="C15" s="42">
        <v>2150</v>
      </c>
      <c r="D15" s="42">
        <v>2120</v>
      </c>
      <c r="E15" s="42">
        <v>2085</v>
      </c>
      <c r="F15" s="42">
        <v>2110</v>
      </c>
      <c r="G15" s="42">
        <v>2160</v>
      </c>
      <c r="H15" s="42">
        <v>2135</v>
      </c>
      <c r="I15" s="43">
        <f>Assumptions!$E$6*(1+Assumptions!$C$36)</f>
        <v>2131.5</v>
      </c>
      <c r="J15" s="43">
        <f>Assumptions!$E$6*(1+Assumptions!$C$36)</f>
        <v>2131.5</v>
      </c>
      <c r="K15" s="43">
        <f>Assumptions!$E$6*(1+Assumptions!$C$36)</f>
        <v>2131.5</v>
      </c>
      <c r="L15" s="43">
        <f>Assumptions!$E$6*(1+Assumptions!$C$36)</f>
        <v>2131.5</v>
      </c>
      <c r="M15" s="43">
        <f>Assumptions!$E$6*(1+Assumptions!$C$36)</f>
        <v>2131.5</v>
      </c>
      <c r="N15" s="43">
        <f>Assumptions!$E$6*(1+Assumptions!$C$36)</f>
        <v>2131.5</v>
      </c>
      <c r="O15" s="43">
        <f>IFERROR(O20/O9,0)</f>
        <v>2129.5984813372256</v>
      </c>
    </row>
    <row r="17" spans="2:15" x14ac:dyDescent="0.35">
      <c r="B17" s="31" t="s">
        <v>84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2:15" x14ac:dyDescent="0.35">
      <c r="B18" s="3" t="s">
        <v>3</v>
      </c>
      <c r="C18" s="35">
        <f>C7*C13</f>
        <v>8068320</v>
      </c>
      <c r="D18" s="35">
        <f t="shared" ref="D18:N18" si="2">D7*D13</f>
        <v>7960050</v>
      </c>
      <c r="E18" s="35">
        <f t="shared" si="2"/>
        <v>8957000</v>
      </c>
      <c r="F18" s="35">
        <f t="shared" si="2"/>
        <v>9226350</v>
      </c>
      <c r="G18" s="35">
        <f t="shared" si="2"/>
        <v>8966100</v>
      </c>
      <c r="H18" s="35">
        <f t="shared" si="2"/>
        <v>9365790</v>
      </c>
      <c r="I18" s="35">
        <f t="shared" si="2"/>
        <v>8442008.7499999981</v>
      </c>
      <c r="J18" s="35">
        <f t="shared" si="2"/>
        <v>7997692.4999999991</v>
      </c>
      <c r="K18" s="35">
        <f t="shared" si="2"/>
        <v>8442008.7499999981</v>
      </c>
      <c r="L18" s="35">
        <f t="shared" si="2"/>
        <v>9330641.2499999981</v>
      </c>
      <c r="M18" s="35">
        <f t="shared" si="2"/>
        <v>9774957.4999999981</v>
      </c>
      <c r="N18" s="35">
        <f t="shared" si="2"/>
        <v>8886324.9999999981</v>
      </c>
      <c r="O18" s="35">
        <f>SUM(C18:N18)</f>
        <v>105417243.75</v>
      </c>
    </row>
    <row r="19" spans="2:15" x14ac:dyDescent="0.35">
      <c r="B19" s="3" t="s">
        <v>4</v>
      </c>
      <c r="C19" s="35">
        <f>C8*C14</f>
        <v>6402240</v>
      </c>
      <c r="D19" s="35">
        <f t="shared" ref="D19:N19" si="3">D8*D14</f>
        <v>7337268</v>
      </c>
      <c r="E19" s="35">
        <f t="shared" si="3"/>
        <v>7543800</v>
      </c>
      <c r="F19" s="35">
        <f t="shared" si="3"/>
        <v>8255520</v>
      </c>
      <c r="G19" s="35">
        <f t="shared" si="3"/>
        <v>8945640</v>
      </c>
      <c r="H19" s="35">
        <f t="shared" si="3"/>
        <v>7890120</v>
      </c>
      <c r="I19" s="35">
        <f t="shared" si="3"/>
        <v>7448831.2499999991</v>
      </c>
      <c r="J19" s="35">
        <f t="shared" si="3"/>
        <v>7056787.4999999991</v>
      </c>
      <c r="K19" s="35">
        <f t="shared" si="3"/>
        <v>7448831.2499999991</v>
      </c>
      <c r="L19" s="35">
        <f t="shared" si="3"/>
        <v>8232918.7499999981</v>
      </c>
      <c r="M19" s="35">
        <f t="shared" si="3"/>
        <v>8624962.5</v>
      </c>
      <c r="N19" s="35">
        <f t="shared" si="3"/>
        <v>7840874.9999999981</v>
      </c>
      <c r="O19" s="35">
        <f>SUM(C19:N19)</f>
        <v>93027794.25</v>
      </c>
    </row>
    <row r="20" spans="2:15" x14ac:dyDescent="0.35">
      <c r="B20" s="3" t="s">
        <v>5</v>
      </c>
      <c r="C20" s="35">
        <f>C9*C15</f>
        <v>7982950</v>
      </c>
      <c r="D20" s="35">
        <f t="shared" ref="D20:N20" si="4">D9*D15</f>
        <v>7930920</v>
      </c>
      <c r="E20" s="35">
        <f t="shared" si="4"/>
        <v>7585230</v>
      </c>
      <c r="F20" s="35">
        <f t="shared" si="4"/>
        <v>7726820</v>
      </c>
      <c r="G20" s="35">
        <f t="shared" si="4"/>
        <v>9089280</v>
      </c>
      <c r="H20" s="35">
        <f t="shared" si="4"/>
        <v>8911490</v>
      </c>
      <c r="I20" s="35">
        <f t="shared" si="4"/>
        <v>7821272.8125</v>
      </c>
      <c r="J20" s="35">
        <f t="shared" si="4"/>
        <v>7409626.875</v>
      </c>
      <c r="K20" s="35">
        <f t="shared" si="4"/>
        <v>7821272.8125</v>
      </c>
      <c r="L20" s="35">
        <f t="shared" si="4"/>
        <v>8644564.6875</v>
      </c>
      <c r="M20" s="35">
        <f t="shared" si="4"/>
        <v>9056210.625</v>
      </c>
      <c r="N20" s="35">
        <f t="shared" si="4"/>
        <v>8232918.75</v>
      </c>
      <c r="O20" s="35">
        <f>SUM(C20:N20)</f>
        <v>98212556.5625</v>
      </c>
    </row>
    <row r="21" spans="2:15" x14ac:dyDescent="0.35">
      <c r="B21" s="33" t="s">
        <v>47</v>
      </c>
      <c r="C21" s="36">
        <f>SUM(C18:C20)</f>
        <v>22453510</v>
      </c>
      <c r="D21" s="36">
        <f t="shared" ref="D21:N21" si="5">SUM(D18:D20)</f>
        <v>23228238</v>
      </c>
      <c r="E21" s="36">
        <f t="shared" si="5"/>
        <v>24086030</v>
      </c>
      <c r="F21" s="36">
        <f t="shared" si="5"/>
        <v>25208690</v>
      </c>
      <c r="G21" s="36">
        <f t="shared" si="5"/>
        <v>27001020</v>
      </c>
      <c r="H21" s="36">
        <f t="shared" si="5"/>
        <v>26167400</v>
      </c>
      <c r="I21" s="36">
        <f t="shared" si="5"/>
        <v>23712112.812499996</v>
      </c>
      <c r="J21" s="36">
        <f t="shared" si="5"/>
        <v>22464106.875</v>
      </c>
      <c r="K21" s="36">
        <f t="shared" si="5"/>
        <v>23712112.812499996</v>
      </c>
      <c r="L21" s="36">
        <f t="shared" si="5"/>
        <v>26208124.687499996</v>
      </c>
      <c r="M21" s="36">
        <f t="shared" si="5"/>
        <v>27456130.625</v>
      </c>
      <c r="N21" s="36">
        <f t="shared" si="5"/>
        <v>24960118.749999996</v>
      </c>
      <c r="O21" s="36">
        <f>SUM(C21:N21)</f>
        <v>296657594.5625</v>
      </c>
    </row>
    <row r="23" spans="2:15" x14ac:dyDescent="0.35">
      <c r="B23" s="31" t="s">
        <v>123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2:15" x14ac:dyDescent="0.35">
      <c r="B24" s="3" t="s">
        <v>56</v>
      </c>
      <c r="C24" s="41">
        <v>13681</v>
      </c>
      <c r="D24" s="41">
        <v>13933</v>
      </c>
      <c r="E24" s="41">
        <v>15138</v>
      </c>
      <c r="F24" s="41">
        <v>14839</v>
      </c>
      <c r="G24" s="41">
        <v>16297</v>
      </c>
      <c r="H24" s="41">
        <v>16127</v>
      </c>
      <c r="I24" s="32">
        <f>I26*Assumptions!$C$41</f>
        <v>14272.401</v>
      </c>
      <c r="J24" s="32">
        <f>J26*Assumptions!$C$41</f>
        <v>13521.222</v>
      </c>
      <c r="K24" s="32">
        <f>K26*Assumptions!$C$41</f>
        <v>14272.401</v>
      </c>
      <c r="L24" s="32">
        <f>L26*Assumptions!$C$41</f>
        <v>15774.759000000002</v>
      </c>
      <c r="M24" s="32">
        <f>M26*Assumptions!$C$41</f>
        <v>16525.938000000002</v>
      </c>
      <c r="N24" s="32">
        <f>N26*Assumptions!$C$41</f>
        <v>15023.58</v>
      </c>
      <c r="O24" s="32">
        <f>SUM(C24:N24)</f>
        <v>179405.30099999998</v>
      </c>
    </row>
    <row r="25" spans="2:15" x14ac:dyDescent="0.35">
      <c r="B25" s="3" t="s">
        <v>57</v>
      </c>
      <c r="C25" s="42">
        <v>268</v>
      </c>
      <c r="D25" s="42">
        <v>274</v>
      </c>
      <c r="E25" s="42">
        <v>271</v>
      </c>
      <c r="F25" s="42">
        <v>279</v>
      </c>
      <c r="G25" s="42">
        <v>276</v>
      </c>
      <c r="H25" s="42">
        <v>273</v>
      </c>
      <c r="I25" s="43">
        <f>IFERROR((I7*Assumptions!$C$8*Assumptions!$C$9+I8*Assumptions!$D$8*Assumptions!$D$9+I9*Assumptions!$E$8*Assumptions!$E$9)/I26,0)*(1+Assumptions!$C$38)</f>
        <v>293.2657342657343</v>
      </c>
      <c r="J25" s="43">
        <f>IFERROR((J7*Assumptions!$C$8*Assumptions!$C$9+J8*Assumptions!$D$8*Assumptions!$D$9+J9*Assumptions!$E$8*Assumptions!$E$9)/J26,0)*(1+Assumptions!$C$38)</f>
        <v>293.2657342657343</v>
      </c>
      <c r="K25" s="43">
        <f>IFERROR((K7*Assumptions!$C$8*Assumptions!$C$9+K8*Assumptions!$D$8*Assumptions!$D$9+K9*Assumptions!$E$8*Assumptions!$E$9)/K26,0)*(1+Assumptions!$C$38)</f>
        <v>293.2657342657343</v>
      </c>
      <c r="L25" s="43">
        <f>IFERROR((L7*Assumptions!$C$8*Assumptions!$C$9+L8*Assumptions!$D$8*Assumptions!$D$9+L9*Assumptions!$E$8*Assumptions!$E$9)/L26,0)*(1+Assumptions!$C$38)</f>
        <v>293.2657342657343</v>
      </c>
      <c r="M25" s="43">
        <f>IFERROR((M7*Assumptions!$C$8*Assumptions!$C$9+M8*Assumptions!$D$8*Assumptions!$D$9+M9*Assumptions!$E$8*Assumptions!$E$9)/M26,0)*(1+Assumptions!$C$38)</f>
        <v>293.26573426573424</v>
      </c>
      <c r="N25" s="43">
        <f>IFERROR((N7*Assumptions!$C$8*Assumptions!$C$9+N8*Assumptions!$D$8*Assumptions!$D$9+N9*Assumptions!$E$8*Assumptions!$E$9)/N26,0)*(1+Assumptions!$C$38)</f>
        <v>293.2657342657343</v>
      </c>
      <c r="O25" s="43">
        <f>IFERROR(O44/O24,0)</f>
        <v>283.39399101144738</v>
      </c>
    </row>
    <row r="26" spans="2:15" x14ac:dyDescent="0.35">
      <c r="B26" s="3" t="s">
        <v>58</v>
      </c>
      <c r="C26" s="32">
        <f>C7*Assumptions!$C$8+C8*Assumptions!$D$8+C9*Assumptions!$E$8</f>
        <v>13282.8</v>
      </c>
      <c r="D26" s="32">
        <f>D7*Assumptions!$C$8+D8*Assumptions!$D$8+D9*Assumptions!$E$8</f>
        <v>13795.400000000001</v>
      </c>
      <c r="E26" s="32">
        <f>E7*Assumptions!$C$8+E8*Assumptions!$D$8+E9*Assumptions!$E$8</f>
        <v>14417.599999999999</v>
      </c>
      <c r="F26" s="32">
        <f>F7*Assumptions!$C$8+F8*Assumptions!$D$8+F9*Assumptions!$E$8</f>
        <v>14988.9</v>
      </c>
      <c r="G26" s="32">
        <f>G7*Assumptions!$C$8+G8*Assumptions!$D$8+G9*Assumptions!$E$8</f>
        <v>15977</v>
      </c>
      <c r="H26" s="32">
        <f>H7*Assumptions!$C$8+H8*Assumptions!$D$8+H9*Assumptions!$E$8</f>
        <v>15506.7</v>
      </c>
      <c r="I26" s="32">
        <f>I7*Assumptions!$C$8+I8*Assumptions!$D$8+I9*Assumptions!$E$8</f>
        <v>13992.55</v>
      </c>
      <c r="J26" s="32">
        <f>J7*Assumptions!$C$8+J8*Assumptions!$D$8+J9*Assumptions!$E$8</f>
        <v>13256.1</v>
      </c>
      <c r="K26" s="32">
        <f>K7*Assumptions!$C$8+K8*Assumptions!$D$8+K9*Assumptions!$E$8</f>
        <v>13992.55</v>
      </c>
      <c r="L26" s="32">
        <f>L7*Assumptions!$C$8+L8*Assumptions!$D$8+L9*Assumptions!$E$8</f>
        <v>15465.45</v>
      </c>
      <c r="M26" s="32">
        <f>M7*Assumptions!$C$8+M8*Assumptions!$D$8+M9*Assumptions!$E$8</f>
        <v>16201.900000000001</v>
      </c>
      <c r="N26" s="32">
        <f>N7*Assumptions!$C$8+N8*Assumptions!$D$8+N9*Assumptions!$E$8</f>
        <v>14729</v>
      </c>
      <c r="O26" s="32">
        <f>SUM(C26:N26)</f>
        <v>175605.95</v>
      </c>
    </row>
    <row r="28" spans="2:15" x14ac:dyDescent="0.35">
      <c r="B28" s="31" t="s">
        <v>171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2:15" x14ac:dyDescent="0.35">
      <c r="B29" s="3" t="s">
        <v>22</v>
      </c>
      <c r="C29" s="44">
        <v>845000</v>
      </c>
      <c r="D29" s="44">
        <v>844000</v>
      </c>
      <c r="E29" s="44">
        <v>945000</v>
      </c>
      <c r="F29" s="44">
        <v>881000</v>
      </c>
      <c r="G29" s="44">
        <v>997000</v>
      </c>
      <c r="H29" s="44">
        <v>1016000</v>
      </c>
      <c r="I29" s="35">
        <f>I$24*Assumptions!$D$24*(1+Assumptions!$C$39)</f>
        <v>882034.38179999997</v>
      </c>
      <c r="J29" s="35">
        <f>J$24*Assumptions!$D$24*(1+Assumptions!$C$39)</f>
        <v>835611.5196</v>
      </c>
      <c r="K29" s="35">
        <f>K$24*Assumptions!$D$24*(1+Assumptions!$C$39)</f>
        <v>882034.38179999997</v>
      </c>
      <c r="L29" s="35">
        <f>L$24*Assumptions!$D$24*(1+Assumptions!$C$39)</f>
        <v>974880.10620000015</v>
      </c>
      <c r="M29" s="35">
        <f>M$24*Assumptions!$D$24*(1+Assumptions!$C$39)</f>
        <v>1021302.9684000001</v>
      </c>
      <c r="N29" s="35">
        <f>N$24*Assumptions!$D$24*(1+Assumptions!$C$39)</f>
        <v>928457.24400000006</v>
      </c>
      <c r="O29" s="35">
        <f>SUM(C29:N29)</f>
        <v>11052320.6018</v>
      </c>
    </row>
    <row r="30" spans="2:15" x14ac:dyDescent="0.35">
      <c r="B30" s="3" t="s">
        <v>23</v>
      </c>
      <c r="C30" s="44">
        <v>469000</v>
      </c>
      <c r="D30" s="44">
        <v>497000</v>
      </c>
      <c r="E30" s="44">
        <v>535000</v>
      </c>
      <c r="F30" s="44">
        <v>535000</v>
      </c>
      <c r="G30" s="44">
        <v>565000</v>
      </c>
      <c r="H30" s="44">
        <v>576000</v>
      </c>
      <c r="I30" s="35">
        <f>I$24*Assumptions!$D$25*(1+Assumptions!$C$39)</f>
        <v>514520.05605000001</v>
      </c>
      <c r="J30" s="35">
        <f>J$24*Assumptions!$D$25*(1+Assumptions!$C$39)</f>
        <v>487440.05310000002</v>
      </c>
      <c r="K30" s="35">
        <f>K$24*Assumptions!$D$25*(1+Assumptions!$C$39)</f>
        <v>514520.05605000001</v>
      </c>
      <c r="L30" s="35">
        <f>L$24*Assumptions!$D$25*(1+Assumptions!$C$39)</f>
        <v>568680.06195000012</v>
      </c>
      <c r="M30" s="35">
        <f>M$24*Assumptions!$D$25*(1+Assumptions!$C$39)</f>
        <v>595760.06490000011</v>
      </c>
      <c r="N30" s="35">
        <f>N$24*Assumptions!$D$25*(1+Assumptions!$C$39)</f>
        <v>541600.05900000001</v>
      </c>
      <c r="O30" s="35">
        <f>SUM(C30:N30)</f>
        <v>6399520.3510500006</v>
      </c>
    </row>
    <row r="31" spans="2:15" x14ac:dyDescent="0.35">
      <c r="B31" s="3" t="s">
        <v>24</v>
      </c>
      <c r="C31" s="44">
        <v>215000</v>
      </c>
      <c r="D31" s="44">
        <v>215000</v>
      </c>
      <c r="E31" s="44">
        <v>225000</v>
      </c>
      <c r="F31" s="44">
        <v>227000</v>
      </c>
      <c r="G31" s="44">
        <v>254000</v>
      </c>
      <c r="H31" s="44">
        <v>244000</v>
      </c>
      <c r="I31" s="35">
        <f>I$24*Assumptions!$D$26*(1+Assumptions!$C$39)</f>
        <v>220508.59544999999</v>
      </c>
      <c r="J31" s="35">
        <f>J$24*Assumptions!$D$26*(1+Assumptions!$C$39)</f>
        <v>208902.8799</v>
      </c>
      <c r="K31" s="35">
        <f>K$24*Assumptions!$D$26*(1+Assumptions!$C$39)</f>
        <v>220508.59544999999</v>
      </c>
      <c r="L31" s="35">
        <f>L$24*Assumptions!$D$26*(1+Assumptions!$C$39)</f>
        <v>243720.02655000004</v>
      </c>
      <c r="M31" s="35">
        <f>M$24*Assumptions!$D$26*(1+Assumptions!$C$39)</f>
        <v>255325.74210000003</v>
      </c>
      <c r="N31" s="35">
        <f>N$24*Assumptions!$D$26*(1+Assumptions!$C$39)</f>
        <v>232114.31100000002</v>
      </c>
      <c r="O31" s="35">
        <f>SUM(C31:N31)</f>
        <v>2761080.1504500001</v>
      </c>
    </row>
    <row r="32" spans="2:15" x14ac:dyDescent="0.35">
      <c r="B32" s="3" t="s">
        <v>25</v>
      </c>
      <c r="C32" s="44">
        <v>138000</v>
      </c>
      <c r="D32" s="44">
        <v>137000</v>
      </c>
      <c r="E32" s="44">
        <v>154000</v>
      </c>
      <c r="F32" s="44">
        <v>148000</v>
      </c>
      <c r="G32" s="44">
        <v>168000</v>
      </c>
      <c r="H32" s="44">
        <v>160000</v>
      </c>
      <c r="I32" s="35">
        <f>I$24*Assumptions!$D$27*(1+Assumptions!$C$39)</f>
        <v>147005.73030000002</v>
      </c>
      <c r="J32" s="35">
        <f>J$24*Assumptions!$D$27*(1+Assumptions!$C$39)</f>
        <v>139268.58660000001</v>
      </c>
      <c r="K32" s="35">
        <f>K$24*Assumptions!$D$27*(1+Assumptions!$C$39)</f>
        <v>147005.73030000002</v>
      </c>
      <c r="L32" s="35">
        <f>L$24*Assumptions!$D$27*(1+Assumptions!$C$39)</f>
        <v>162480.01770000003</v>
      </c>
      <c r="M32" s="35">
        <f>M$24*Assumptions!$D$27*(1+Assumptions!$C$39)</f>
        <v>170217.16140000001</v>
      </c>
      <c r="N32" s="35">
        <f>N$24*Assumptions!$D$27*(1+Assumptions!$C$39)</f>
        <v>154742.87399999998</v>
      </c>
      <c r="O32" s="35">
        <f>SUM(C32:N32)</f>
        <v>1825720.1003</v>
      </c>
    </row>
    <row r="33" spans="2:15" x14ac:dyDescent="0.35">
      <c r="B33" s="33" t="s">
        <v>59</v>
      </c>
      <c r="C33" s="36">
        <f>SUM(C29:C32)</f>
        <v>1667000</v>
      </c>
      <c r="D33" s="36">
        <f t="shared" ref="D33:N33" si="6">SUM(D29:D32)</f>
        <v>1693000</v>
      </c>
      <c r="E33" s="36">
        <f t="shared" si="6"/>
        <v>1859000</v>
      </c>
      <c r="F33" s="36">
        <f t="shared" si="6"/>
        <v>1791000</v>
      </c>
      <c r="G33" s="36">
        <f t="shared" si="6"/>
        <v>1984000</v>
      </c>
      <c r="H33" s="36">
        <f t="shared" si="6"/>
        <v>1996000</v>
      </c>
      <c r="I33" s="36">
        <f t="shared" si="6"/>
        <v>1764068.7635999997</v>
      </c>
      <c r="J33" s="36">
        <f t="shared" si="6"/>
        <v>1671223.0392</v>
      </c>
      <c r="K33" s="36">
        <f t="shared" si="6"/>
        <v>1764068.7635999997</v>
      </c>
      <c r="L33" s="36">
        <f t="shared" si="6"/>
        <v>1949760.2124000003</v>
      </c>
      <c r="M33" s="36">
        <f t="shared" si="6"/>
        <v>2042605.9368000003</v>
      </c>
      <c r="N33" s="36">
        <f t="shared" si="6"/>
        <v>1856914.4880000001</v>
      </c>
      <c r="O33" s="36">
        <f>SUM(C33:N33)</f>
        <v>22038641.203600001</v>
      </c>
    </row>
    <row r="35" spans="2:15" x14ac:dyDescent="0.35">
      <c r="B35" s="31" t="s">
        <v>172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2:15" x14ac:dyDescent="0.35">
      <c r="B36" s="3" t="s">
        <v>22</v>
      </c>
      <c r="C36" s="44">
        <v>2720000</v>
      </c>
      <c r="D36" s="44">
        <v>2640000</v>
      </c>
      <c r="E36" s="44">
        <v>2747000</v>
      </c>
      <c r="F36" s="44">
        <v>2693000</v>
      </c>
      <c r="G36" s="44">
        <v>2773000</v>
      </c>
      <c r="H36" s="44">
        <v>2667000</v>
      </c>
      <c r="I36" s="35">
        <f>Assumptions!$C$24/12*(1+Assumptions!$C$40)</f>
        <v>2733333.333333333</v>
      </c>
      <c r="J36" s="35">
        <f>Assumptions!$C$24/12*(1+Assumptions!$C$40)</f>
        <v>2733333.333333333</v>
      </c>
      <c r="K36" s="35">
        <f>Assumptions!$C$24/12*(1+Assumptions!$C$40)</f>
        <v>2733333.333333333</v>
      </c>
      <c r="L36" s="35">
        <f>Assumptions!$C$24/12*(1+Assumptions!$C$40)</f>
        <v>2733333.333333333</v>
      </c>
      <c r="M36" s="35">
        <f>Assumptions!$C$24/12*(1+Assumptions!$C$40)</f>
        <v>2733333.333333333</v>
      </c>
      <c r="N36" s="35">
        <f>Assumptions!$C$24/12*(1+Assumptions!$C$40)</f>
        <v>2733333.333333333</v>
      </c>
      <c r="O36" s="35">
        <f>SUM(C36:N36)</f>
        <v>32639999.999999993</v>
      </c>
    </row>
    <row r="37" spans="2:15" x14ac:dyDescent="0.35">
      <c r="B37" s="3" t="s">
        <v>23</v>
      </c>
      <c r="C37" s="44">
        <v>1733000</v>
      </c>
      <c r="D37" s="44">
        <v>1768000</v>
      </c>
      <c r="E37" s="44">
        <v>1750000</v>
      </c>
      <c r="F37" s="44">
        <v>1785000</v>
      </c>
      <c r="G37" s="44">
        <v>1715000</v>
      </c>
      <c r="H37" s="44">
        <v>1803000</v>
      </c>
      <c r="I37" s="35">
        <f>Assumptions!$C$25/12*(1+Assumptions!$C$40)</f>
        <v>1793749.9999999998</v>
      </c>
      <c r="J37" s="35">
        <f>Assumptions!$C$25/12*(1+Assumptions!$C$40)</f>
        <v>1793749.9999999998</v>
      </c>
      <c r="K37" s="35">
        <f>Assumptions!$C$25/12*(1+Assumptions!$C$40)</f>
        <v>1793749.9999999998</v>
      </c>
      <c r="L37" s="35">
        <f>Assumptions!$C$25/12*(1+Assumptions!$C$40)</f>
        <v>1793749.9999999998</v>
      </c>
      <c r="M37" s="35">
        <f>Assumptions!$C$25/12*(1+Assumptions!$C$40)</f>
        <v>1793749.9999999998</v>
      </c>
      <c r="N37" s="35">
        <f>Assumptions!$C$25/12*(1+Assumptions!$C$40)</f>
        <v>1793749.9999999998</v>
      </c>
      <c r="O37" s="35">
        <f>SUM(C37:N37)</f>
        <v>21316500</v>
      </c>
    </row>
    <row r="38" spans="2:15" x14ac:dyDescent="0.35">
      <c r="B38" s="3" t="s">
        <v>24</v>
      </c>
      <c r="C38" s="44">
        <v>773000</v>
      </c>
      <c r="D38" s="44">
        <v>765000</v>
      </c>
      <c r="E38" s="44">
        <v>743000</v>
      </c>
      <c r="F38" s="44">
        <v>758000</v>
      </c>
      <c r="G38" s="44">
        <v>750000</v>
      </c>
      <c r="H38" s="44">
        <v>765000</v>
      </c>
      <c r="I38" s="35">
        <f>Assumptions!$C$26/12*(1+Assumptions!$C$40)</f>
        <v>768749.99999999988</v>
      </c>
      <c r="J38" s="35">
        <f>Assumptions!$C$26/12*(1+Assumptions!$C$40)</f>
        <v>768749.99999999988</v>
      </c>
      <c r="K38" s="35">
        <f>Assumptions!$C$26/12*(1+Assumptions!$C$40)</f>
        <v>768749.99999999988</v>
      </c>
      <c r="L38" s="35">
        <f>Assumptions!$C$26/12*(1+Assumptions!$C$40)</f>
        <v>768749.99999999988</v>
      </c>
      <c r="M38" s="35">
        <f>Assumptions!$C$26/12*(1+Assumptions!$C$40)</f>
        <v>768749.99999999988</v>
      </c>
      <c r="N38" s="35">
        <f>Assumptions!$C$26/12*(1+Assumptions!$C$40)</f>
        <v>768749.99999999988</v>
      </c>
      <c r="O38" s="35">
        <f>SUM(C38:N38)</f>
        <v>9166500</v>
      </c>
    </row>
    <row r="39" spans="2:15" x14ac:dyDescent="0.35">
      <c r="B39" s="3" t="s">
        <v>25</v>
      </c>
      <c r="C39" s="44">
        <v>1347000</v>
      </c>
      <c r="D39" s="44">
        <v>1333000</v>
      </c>
      <c r="E39" s="44">
        <v>1360000</v>
      </c>
      <c r="F39" s="44">
        <v>1320000</v>
      </c>
      <c r="G39" s="44">
        <v>1373000</v>
      </c>
      <c r="H39" s="44">
        <v>1347000</v>
      </c>
      <c r="I39" s="35">
        <f>Assumptions!$C$27/12*(1+Assumptions!$C$40)</f>
        <v>1366666.6666666665</v>
      </c>
      <c r="J39" s="35">
        <f>Assumptions!$C$27/12*(1+Assumptions!$C$40)</f>
        <v>1366666.6666666665</v>
      </c>
      <c r="K39" s="35">
        <f>Assumptions!$C$27/12*(1+Assumptions!$C$40)</f>
        <v>1366666.6666666665</v>
      </c>
      <c r="L39" s="35">
        <f>Assumptions!$C$27/12*(1+Assumptions!$C$40)</f>
        <v>1366666.6666666665</v>
      </c>
      <c r="M39" s="35">
        <f>Assumptions!$C$27/12*(1+Assumptions!$C$40)</f>
        <v>1366666.6666666665</v>
      </c>
      <c r="N39" s="35">
        <f>Assumptions!$C$27/12*(1+Assumptions!$C$40)</f>
        <v>1366666.6666666665</v>
      </c>
      <c r="O39" s="35">
        <f>SUM(C39:N39)</f>
        <v>16279999.999999996</v>
      </c>
    </row>
    <row r="40" spans="2:15" x14ac:dyDescent="0.35">
      <c r="B40" s="33" t="s">
        <v>53</v>
      </c>
      <c r="C40" s="36">
        <f>SUM(C36:C39)</f>
        <v>6573000</v>
      </c>
      <c r="D40" s="36">
        <f t="shared" ref="D40:N40" si="7">SUM(D36:D39)</f>
        <v>6506000</v>
      </c>
      <c r="E40" s="36">
        <f t="shared" si="7"/>
        <v>6600000</v>
      </c>
      <c r="F40" s="36">
        <f t="shared" si="7"/>
        <v>6556000</v>
      </c>
      <c r="G40" s="36">
        <f t="shared" si="7"/>
        <v>6611000</v>
      </c>
      <c r="H40" s="36">
        <f t="shared" si="7"/>
        <v>6582000</v>
      </c>
      <c r="I40" s="36">
        <f t="shared" si="7"/>
        <v>6662500</v>
      </c>
      <c r="J40" s="36">
        <f t="shared" si="7"/>
        <v>6662500</v>
      </c>
      <c r="K40" s="36">
        <f t="shared" si="7"/>
        <v>6662500</v>
      </c>
      <c r="L40" s="36">
        <f t="shared" si="7"/>
        <v>6662500</v>
      </c>
      <c r="M40" s="36">
        <f t="shared" si="7"/>
        <v>6662500</v>
      </c>
      <c r="N40" s="36">
        <f t="shared" si="7"/>
        <v>6662500</v>
      </c>
      <c r="O40" s="36">
        <f>SUM(C40:N40)</f>
        <v>79403000</v>
      </c>
    </row>
    <row r="42" spans="2:15" x14ac:dyDescent="0.35">
      <c r="B42" s="31" t="s">
        <v>173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2:15" x14ac:dyDescent="0.35">
      <c r="B43" s="3" t="s">
        <v>48</v>
      </c>
      <c r="C43" s="44">
        <v>8699000</v>
      </c>
      <c r="D43" s="44">
        <v>8838000</v>
      </c>
      <c r="E43" s="44">
        <v>9595000</v>
      </c>
      <c r="F43" s="44">
        <v>9667000</v>
      </c>
      <c r="G43" s="44">
        <v>10114000</v>
      </c>
      <c r="H43" s="44">
        <v>10236000</v>
      </c>
      <c r="I43" s="35">
        <f>(I7*Assumptions!$C$7+I8*Assumptions!$D$7+I9*Assumptions!$E$7)*(1+Assumptions!$C$37)*Assumptions!$C$42</f>
        <v>9456241.6129999999</v>
      </c>
      <c r="J43" s="35">
        <f>(J7*Assumptions!$C$7+J8*Assumptions!$D$7+J9*Assumptions!$E$7)*(1+Assumptions!$C$37)*Assumptions!$C$42</f>
        <v>8958544.6859999988</v>
      </c>
      <c r="K43" s="35">
        <f>(K7*Assumptions!$C$7+K8*Assumptions!$D$7+K9*Assumptions!$E$7)*(1+Assumptions!$C$37)*Assumptions!$C$42</f>
        <v>9456241.6129999999</v>
      </c>
      <c r="L43" s="35">
        <f>(L7*Assumptions!$C$7+L8*Assumptions!$D$7+L9*Assumptions!$E$7)*(1+Assumptions!$C$37)*Assumptions!$C$42</f>
        <v>10451635.467</v>
      </c>
      <c r="M43" s="35">
        <f>(M7*Assumptions!$C$7+M8*Assumptions!$D$7+M9*Assumptions!$E$7)*(1+Assumptions!$C$37)*Assumptions!$C$42</f>
        <v>10949332.393999999</v>
      </c>
      <c r="N43" s="35">
        <f>(N7*Assumptions!$C$7+N8*Assumptions!$D$7+N9*Assumptions!$E$7)*(1+Assumptions!$C$37)*Assumptions!$C$42</f>
        <v>9953938.5399999991</v>
      </c>
      <c r="O43" s="35">
        <f>SUM(C43:N43)</f>
        <v>116374934.31299999</v>
      </c>
    </row>
    <row r="44" spans="2:15" x14ac:dyDescent="0.35">
      <c r="B44" s="3" t="s">
        <v>49</v>
      </c>
      <c r="C44" s="35">
        <f>C24*C25</f>
        <v>3666508</v>
      </c>
      <c r="D44" s="35">
        <f t="shared" ref="D44:N44" si="8">D24*D25</f>
        <v>3817642</v>
      </c>
      <c r="E44" s="35">
        <f>E24*E25</f>
        <v>4102398</v>
      </c>
      <c r="F44" s="35">
        <f t="shared" si="8"/>
        <v>4140081</v>
      </c>
      <c r="G44" s="35">
        <f t="shared" si="8"/>
        <v>4497972</v>
      </c>
      <c r="H44" s="35">
        <f t="shared" si="8"/>
        <v>4402671</v>
      </c>
      <c r="I44" s="35">
        <f t="shared" si="8"/>
        <v>4185606.1590000005</v>
      </c>
      <c r="J44" s="35">
        <f t="shared" si="8"/>
        <v>3965311.0980000002</v>
      </c>
      <c r="K44" s="35">
        <f t="shared" si="8"/>
        <v>4185606.1590000005</v>
      </c>
      <c r="L44" s="35">
        <f t="shared" si="8"/>
        <v>4626196.2810000014</v>
      </c>
      <c r="M44" s="35">
        <f t="shared" si="8"/>
        <v>4846491.3420000002</v>
      </c>
      <c r="N44" s="35">
        <f t="shared" si="8"/>
        <v>4405901.2200000007</v>
      </c>
      <c r="O44" s="35">
        <f>SUM(C44:N44)</f>
        <v>50842384.259000003</v>
      </c>
    </row>
    <row r="45" spans="2:15" x14ac:dyDescent="0.35">
      <c r="B45" s="3" t="s">
        <v>50</v>
      </c>
      <c r="C45" s="35">
        <f>C33</f>
        <v>1667000</v>
      </c>
      <c r="D45" s="35">
        <f t="shared" ref="D45:N45" si="9">D33</f>
        <v>1693000</v>
      </c>
      <c r="E45" s="35">
        <f t="shared" si="9"/>
        <v>1859000</v>
      </c>
      <c r="F45" s="35">
        <f t="shared" si="9"/>
        <v>1791000</v>
      </c>
      <c r="G45" s="35">
        <f t="shared" si="9"/>
        <v>1984000</v>
      </c>
      <c r="H45" s="35">
        <f t="shared" si="9"/>
        <v>1996000</v>
      </c>
      <c r="I45" s="35">
        <f t="shared" si="9"/>
        <v>1764068.7635999997</v>
      </c>
      <c r="J45" s="35">
        <f t="shared" si="9"/>
        <v>1671223.0392</v>
      </c>
      <c r="K45" s="35">
        <f t="shared" si="9"/>
        <v>1764068.7635999997</v>
      </c>
      <c r="L45" s="35">
        <f t="shared" si="9"/>
        <v>1949760.2124000003</v>
      </c>
      <c r="M45" s="35">
        <f t="shared" si="9"/>
        <v>2042605.9368000003</v>
      </c>
      <c r="N45" s="35">
        <f t="shared" si="9"/>
        <v>1856914.4880000001</v>
      </c>
      <c r="O45" s="35">
        <f>SUM(C45:N45)</f>
        <v>22038641.203600001</v>
      </c>
    </row>
    <row r="46" spans="2:15" x14ac:dyDescent="0.35">
      <c r="B46" s="33" t="s">
        <v>51</v>
      </c>
      <c r="C46" s="36">
        <f>SUM(C43:C45)</f>
        <v>14032508</v>
      </c>
      <c r="D46" s="36">
        <f t="shared" ref="D46:N46" si="10">SUM(D43:D45)</f>
        <v>14348642</v>
      </c>
      <c r="E46" s="36">
        <f t="shared" si="10"/>
        <v>15556398</v>
      </c>
      <c r="F46" s="36">
        <f t="shared" si="10"/>
        <v>15598081</v>
      </c>
      <c r="G46" s="36">
        <f t="shared" si="10"/>
        <v>16595972</v>
      </c>
      <c r="H46" s="36">
        <f t="shared" si="10"/>
        <v>16634671</v>
      </c>
      <c r="I46" s="36">
        <f t="shared" si="10"/>
        <v>15405916.535599999</v>
      </c>
      <c r="J46" s="36">
        <f t="shared" si="10"/>
        <v>14595078.823199999</v>
      </c>
      <c r="K46" s="36">
        <f t="shared" si="10"/>
        <v>15405916.535599999</v>
      </c>
      <c r="L46" s="36">
        <f t="shared" si="10"/>
        <v>17027591.9604</v>
      </c>
      <c r="M46" s="36">
        <f t="shared" si="10"/>
        <v>17838429.672800001</v>
      </c>
      <c r="N46" s="36">
        <f t="shared" si="10"/>
        <v>16216754.248</v>
      </c>
      <c r="O46" s="36">
        <f>SUM(C46:N46)</f>
        <v>189255959.77559999</v>
      </c>
    </row>
    <row r="48" spans="2:15" x14ac:dyDescent="0.35">
      <c r="B48" s="33" t="s">
        <v>120</v>
      </c>
      <c r="C48" s="36">
        <f>C21-C46</f>
        <v>8421002</v>
      </c>
      <c r="D48" s="36">
        <f t="shared" ref="D48:N48" si="11">D21-D46</f>
        <v>8879596</v>
      </c>
      <c r="E48" s="36">
        <f t="shared" si="11"/>
        <v>8529632</v>
      </c>
      <c r="F48" s="36">
        <f t="shared" si="11"/>
        <v>9610609</v>
      </c>
      <c r="G48" s="36">
        <f t="shared" si="11"/>
        <v>10405048</v>
      </c>
      <c r="H48" s="36">
        <f t="shared" si="11"/>
        <v>9532729</v>
      </c>
      <c r="I48" s="36">
        <f t="shared" si="11"/>
        <v>8306196.2768999971</v>
      </c>
      <c r="J48" s="36">
        <f t="shared" si="11"/>
        <v>7869028.0518000014</v>
      </c>
      <c r="K48" s="36">
        <f t="shared" si="11"/>
        <v>8306196.2768999971</v>
      </c>
      <c r="L48" s="36">
        <f t="shared" si="11"/>
        <v>9180532.7270999961</v>
      </c>
      <c r="M48" s="36">
        <f t="shared" si="11"/>
        <v>9617700.9521999992</v>
      </c>
      <c r="N48" s="36">
        <f t="shared" si="11"/>
        <v>8743364.5019999966</v>
      </c>
      <c r="O48" s="36">
        <f>SUM(C48:N48)</f>
        <v>107401634.78689998</v>
      </c>
    </row>
    <row r="49" spans="2:15" x14ac:dyDescent="0.35">
      <c r="B49" s="3" t="s">
        <v>52</v>
      </c>
      <c r="C49" s="15">
        <f>IFERROR(C48/C21,0)</f>
        <v>0.37504167499869728</v>
      </c>
      <c r="D49" s="15">
        <f t="shared" ref="D49:N49" si="12">IFERROR(D48/D21,0)</f>
        <v>0.38227591778592934</v>
      </c>
      <c r="E49" s="15">
        <f t="shared" si="12"/>
        <v>0.35413191796240395</v>
      </c>
      <c r="F49" s="15">
        <f t="shared" si="12"/>
        <v>0.38124190507321087</v>
      </c>
      <c r="G49" s="15">
        <f t="shared" si="12"/>
        <v>0.38535759019474081</v>
      </c>
      <c r="H49" s="15">
        <f t="shared" si="12"/>
        <v>0.36429790502686549</v>
      </c>
      <c r="I49" s="15">
        <f t="shared" si="12"/>
        <v>0.35029338560338374</v>
      </c>
      <c r="J49" s="15">
        <f t="shared" si="12"/>
        <v>0.35029338560338386</v>
      </c>
      <c r="K49" s="15">
        <f t="shared" si="12"/>
        <v>0.35029338560338374</v>
      </c>
      <c r="L49" s="15">
        <f t="shared" si="12"/>
        <v>0.35029338560338369</v>
      </c>
      <c r="M49" s="15">
        <f t="shared" si="12"/>
        <v>0.35029338560338374</v>
      </c>
      <c r="N49" s="15">
        <f t="shared" si="12"/>
        <v>0.35029338560338369</v>
      </c>
      <c r="O49" s="15">
        <f>IFERROR(O48/O21,0)</f>
        <v>0.36203905362777605</v>
      </c>
    </row>
    <row r="51" spans="2:15" x14ac:dyDescent="0.35">
      <c r="B51" s="37" t="s">
        <v>122</v>
      </c>
      <c r="C51" s="38">
        <f>C48-C40</f>
        <v>1848002</v>
      </c>
      <c r="D51" s="38">
        <f t="shared" ref="D51:N51" si="13">D48-D40</f>
        <v>2373596</v>
      </c>
      <c r="E51" s="38">
        <f t="shared" si="13"/>
        <v>1929632</v>
      </c>
      <c r="F51" s="38">
        <f t="shared" si="13"/>
        <v>3054609</v>
      </c>
      <c r="G51" s="38">
        <f t="shared" si="13"/>
        <v>3794048</v>
      </c>
      <c r="H51" s="38">
        <f t="shared" si="13"/>
        <v>2950729</v>
      </c>
      <c r="I51" s="38">
        <f t="shared" si="13"/>
        <v>1643696.2768999971</v>
      </c>
      <c r="J51" s="38">
        <f t="shared" si="13"/>
        <v>1206528.0518000014</v>
      </c>
      <c r="K51" s="38">
        <f t="shared" si="13"/>
        <v>1643696.2768999971</v>
      </c>
      <c r="L51" s="38">
        <f t="shared" si="13"/>
        <v>2518032.7270999961</v>
      </c>
      <c r="M51" s="38">
        <f t="shared" si="13"/>
        <v>2955200.9521999992</v>
      </c>
      <c r="N51" s="38">
        <f t="shared" si="13"/>
        <v>2080864.5019999966</v>
      </c>
      <c r="O51" s="38">
        <f>SUM(C51:N51)</f>
        <v>27998634.786899988</v>
      </c>
    </row>
    <row r="52" spans="2:15" x14ac:dyDescent="0.35">
      <c r="B52" s="3" t="s">
        <v>54</v>
      </c>
      <c r="C52" s="15">
        <f>IFERROR(C51/C21,0)</f>
        <v>8.2303479500532434E-2</v>
      </c>
      <c r="D52" s="15">
        <f t="shared" ref="D52:N52" si="14">IFERROR(D51/D21,0)</f>
        <v>0.10218579644310516</v>
      </c>
      <c r="E52" s="15">
        <f t="shared" si="14"/>
        <v>8.0114157459739113E-2</v>
      </c>
      <c r="F52" s="15">
        <f t="shared" si="14"/>
        <v>0.12117285745510774</v>
      </c>
      <c r="G52" s="15">
        <f t="shared" si="14"/>
        <v>0.14051498795230699</v>
      </c>
      <c r="H52" s="15">
        <f t="shared" si="14"/>
        <v>0.11276355312335196</v>
      </c>
      <c r="I52" s="15">
        <f t="shared" si="14"/>
        <v>6.9318845178296881E-2</v>
      </c>
      <c r="J52" s="15">
        <f t="shared" si="14"/>
        <v>5.3709148488014453E-2</v>
      </c>
      <c r="K52" s="15">
        <f t="shared" si="14"/>
        <v>6.9318845178296881E-2</v>
      </c>
      <c r="L52" s="15">
        <f t="shared" si="14"/>
        <v>9.6078325218781319E-2</v>
      </c>
      <c r="M52" s="15">
        <f t="shared" si="14"/>
        <v>0.10763355523626335</v>
      </c>
      <c r="N52" s="15">
        <f t="shared" si="14"/>
        <v>8.336757219955121E-2</v>
      </c>
      <c r="O52" s="15">
        <f>IFERROR(O51/O21,0)</f>
        <v>9.4380306791711749E-2</v>
      </c>
    </row>
    <row r="54" spans="2:15" x14ac:dyDescent="0.35">
      <c r="B54" s="39" t="s">
        <v>149</v>
      </c>
      <c r="C54" s="40">
        <f>C26*Assumptions!$C$31</f>
        <v>6037636.3636363633</v>
      </c>
      <c r="D54" s="40">
        <f>D26*Assumptions!$C$31</f>
        <v>6270636.3636363642</v>
      </c>
      <c r="E54" s="40">
        <f>E26*Assumptions!$C$31</f>
        <v>6553454.5454545449</v>
      </c>
      <c r="F54" s="40">
        <f>F26*Assumptions!$C$31</f>
        <v>6813136.3636363633</v>
      </c>
      <c r="G54" s="40">
        <f>G26*Assumptions!$C$31</f>
        <v>7262272.7272727275</v>
      </c>
      <c r="H54" s="40">
        <f>H26*Assumptions!$C$31</f>
        <v>7048500.0000000009</v>
      </c>
      <c r="I54" s="40">
        <f>I26*Assumptions!$C$31</f>
        <v>6360250</v>
      </c>
      <c r="J54" s="40">
        <f>J26*Assumptions!$C$31</f>
        <v>6025500</v>
      </c>
      <c r="K54" s="40">
        <f>K26*Assumptions!$C$31</f>
        <v>6360250</v>
      </c>
      <c r="L54" s="40">
        <f>L26*Assumptions!$C$31</f>
        <v>7029750.0000000009</v>
      </c>
      <c r="M54" s="40">
        <f>M26*Assumptions!$C$31</f>
        <v>7364500.0000000009</v>
      </c>
      <c r="N54" s="40">
        <f>N26*Assumptions!$C$31</f>
        <v>6695000</v>
      </c>
      <c r="O54" s="40">
        <f>SUM(C54:N54)</f>
        <v>79820886.363636374</v>
      </c>
    </row>
    <row r="55" spans="2:15" x14ac:dyDescent="0.35">
      <c r="B55" s="39" t="s">
        <v>150</v>
      </c>
      <c r="C55" s="40">
        <f>C54-C40</f>
        <v>-535363.6363636367</v>
      </c>
      <c r="D55" s="40">
        <f t="shared" ref="D55:N55" si="15">D54-D40</f>
        <v>-235363.63636363577</v>
      </c>
      <c r="E55" s="40">
        <f t="shared" si="15"/>
        <v>-46545.454545455053</v>
      </c>
      <c r="F55" s="40">
        <f t="shared" si="15"/>
        <v>257136.3636363633</v>
      </c>
      <c r="G55" s="40">
        <f t="shared" si="15"/>
        <v>651272.72727272753</v>
      </c>
      <c r="H55" s="40">
        <f t="shared" si="15"/>
        <v>466500.00000000093</v>
      </c>
      <c r="I55" s="40">
        <f t="shared" si="15"/>
        <v>-302250</v>
      </c>
      <c r="J55" s="40">
        <f t="shared" si="15"/>
        <v>-637000</v>
      </c>
      <c r="K55" s="40">
        <f t="shared" si="15"/>
        <v>-302250</v>
      </c>
      <c r="L55" s="40">
        <f t="shared" si="15"/>
        <v>367250.00000000093</v>
      </c>
      <c r="M55" s="40">
        <f t="shared" si="15"/>
        <v>702000.00000000093</v>
      </c>
      <c r="N55" s="40">
        <f t="shared" si="15"/>
        <v>32500</v>
      </c>
      <c r="O55" s="40">
        <f>SUM(C55:N55)</f>
        <v>417886.36363636609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AFC6-8302-424A-851F-83684077F3D5}">
  <dimension ref="B1:O62"/>
  <sheetViews>
    <sheetView showGridLines="0" zoomScale="70" workbookViewId="0">
      <pane xSplit="2" topLeftCell="C1" activePane="topRight" state="frozen"/>
      <selection pane="topRight" activeCell="C15" sqref="C15"/>
    </sheetView>
  </sheetViews>
  <sheetFormatPr defaultRowHeight="14.5" x14ac:dyDescent="0.35"/>
  <cols>
    <col min="1" max="1" width="2.1796875" customWidth="1"/>
    <col min="2" max="2" width="76.6328125" style="3" bestFit="1" customWidth="1"/>
    <col min="3" max="15" width="16" style="3" customWidth="1"/>
  </cols>
  <sheetData>
    <row r="1" spans="2:15" ht="18.5" x14ac:dyDescent="0.45">
      <c r="B1" s="28" t="s">
        <v>152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2:15" x14ac:dyDescent="0.35">
      <c r="B2" s="26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15" x14ac:dyDescent="0.35">
      <c r="B3" s="13" t="s">
        <v>0</v>
      </c>
      <c r="C3" s="29">
        <f>DATE(2026,4,1)</f>
        <v>46113</v>
      </c>
      <c r="D3" s="29">
        <f>EDATE(C3,1)</f>
        <v>46143</v>
      </c>
      <c r="E3" s="29">
        <f t="shared" ref="E3:M3" si="0">EDATE(D3,1)</f>
        <v>46174</v>
      </c>
      <c r="F3" s="29">
        <f t="shared" si="0"/>
        <v>46204</v>
      </c>
      <c r="G3" s="29">
        <f t="shared" si="0"/>
        <v>46235</v>
      </c>
      <c r="H3" s="29">
        <f t="shared" si="0"/>
        <v>46266</v>
      </c>
      <c r="I3" s="29">
        <f t="shared" si="0"/>
        <v>46296</v>
      </c>
      <c r="J3" s="29">
        <f t="shared" si="0"/>
        <v>46327</v>
      </c>
      <c r="K3" s="29">
        <f t="shared" si="0"/>
        <v>46357</v>
      </c>
      <c r="L3" s="29">
        <f t="shared" si="0"/>
        <v>46388</v>
      </c>
      <c r="M3" s="29">
        <f t="shared" si="0"/>
        <v>46419</v>
      </c>
      <c r="N3" s="29">
        <f>EDATE(M3,1)</f>
        <v>46447</v>
      </c>
      <c r="O3" s="29" t="s">
        <v>55</v>
      </c>
    </row>
    <row r="4" spans="2:15" x14ac:dyDescent="0.35">
      <c r="B4" s="13" t="s">
        <v>1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140</v>
      </c>
      <c r="H4" s="30" t="s">
        <v>140</v>
      </c>
      <c r="I4" s="30" t="s">
        <v>141</v>
      </c>
      <c r="J4" s="30" t="s">
        <v>141</v>
      </c>
      <c r="K4" s="30" t="s">
        <v>141</v>
      </c>
      <c r="L4" s="30" t="s">
        <v>141</v>
      </c>
      <c r="M4" s="30" t="s">
        <v>141</v>
      </c>
      <c r="N4" s="30" t="s">
        <v>141</v>
      </c>
      <c r="O4" s="30"/>
    </row>
    <row r="6" spans="2:15" x14ac:dyDescent="0.35">
      <c r="B6" s="17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15" x14ac:dyDescent="0.35">
      <c r="B7" s="3" t="s">
        <v>60</v>
      </c>
      <c r="C7" s="57">
        <f>'Actuals &amp; Forecast'!C7</f>
        <v>9360</v>
      </c>
      <c r="D7" s="57">
        <f>'Actuals &amp; Forecast'!D7</f>
        <v>9310</v>
      </c>
      <c r="E7" s="57">
        <f>'Actuals &amp; Forecast'!E7</f>
        <v>10600</v>
      </c>
      <c r="F7" s="57">
        <f>'Actuals &amp; Forecast'!F7</f>
        <v>10605</v>
      </c>
      <c r="G7" s="57">
        <f>'Actuals &amp; Forecast'!G7</f>
        <v>10450</v>
      </c>
      <c r="H7" s="57">
        <f>'Actuals &amp; Forecast'!H7</f>
        <v>10815</v>
      </c>
      <c r="I7" s="57">
        <f>'Actuals &amp; Forecast'!I7</f>
        <v>9785</v>
      </c>
      <c r="J7" s="57">
        <f>'Actuals &amp; Forecast'!J7</f>
        <v>9270</v>
      </c>
      <c r="K7" s="57">
        <f>'Actuals &amp; Forecast'!K7</f>
        <v>9785</v>
      </c>
      <c r="L7" s="57">
        <f>'Actuals &amp; Forecast'!L7</f>
        <v>10815</v>
      </c>
      <c r="M7" s="57">
        <f>'Actuals &amp; Forecast'!M7</f>
        <v>11330</v>
      </c>
      <c r="N7" s="57">
        <f>'Actuals &amp; Forecast'!N7</f>
        <v>10300</v>
      </c>
      <c r="O7" s="32">
        <f>SUM(C7:N7)</f>
        <v>122425</v>
      </c>
    </row>
    <row r="8" spans="2:15" x14ac:dyDescent="0.35">
      <c r="B8" s="3" t="s">
        <v>61</v>
      </c>
      <c r="C8" s="57">
        <f>'Rolling Budget'!C7</f>
        <v>9000</v>
      </c>
      <c r="D8" s="57">
        <f>'Rolling Budget'!D7</f>
        <v>9500</v>
      </c>
      <c r="E8" s="57">
        <f>'Rolling Budget'!E7</f>
        <v>10000</v>
      </c>
      <c r="F8" s="57">
        <f>'Rolling Budget'!F7</f>
        <v>10500</v>
      </c>
      <c r="G8" s="57">
        <f>'Rolling Budget'!G7</f>
        <v>11000</v>
      </c>
      <c r="H8" s="57">
        <f>'Rolling Budget'!H7</f>
        <v>10500</v>
      </c>
      <c r="I8" s="57">
        <f>'Rolling Budget'!I7</f>
        <v>9500</v>
      </c>
      <c r="J8" s="57">
        <f>'Rolling Budget'!J7</f>
        <v>9000</v>
      </c>
      <c r="K8" s="57">
        <f>'Rolling Budget'!K7</f>
        <v>9500</v>
      </c>
      <c r="L8" s="57">
        <f>'Rolling Budget'!L7</f>
        <v>10500</v>
      </c>
      <c r="M8" s="57">
        <f>'Rolling Budget'!M7</f>
        <v>11000</v>
      </c>
      <c r="N8" s="57">
        <f>'Rolling Budget'!N7</f>
        <v>10000</v>
      </c>
      <c r="O8" s="32">
        <f>SUM(C8:N8)</f>
        <v>120000</v>
      </c>
    </row>
    <row r="9" spans="2:15" x14ac:dyDescent="0.35">
      <c r="B9" s="3" t="s">
        <v>62</v>
      </c>
      <c r="C9" s="32">
        <f>C7-C8</f>
        <v>360</v>
      </c>
      <c r="D9" s="32">
        <f t="shared" ref="D9:N9" si="1">D7-D8</f>
        <v>-190</v>
      </c>
      <c r="E9" s="32">
        <f t="shared" si="1"/>
        <v>600</v>
      </c>
      <c r="F9" s="32">
        <f t="shared" si="1"/>
        <v>105</v>
      </c>
      <c r="G9" s="32">
        <f t="shared" si="1"/>
        <v>-550</v>
      </c>
      <c r="H9" s="32">
        <f t="shared" si="1"/>
        <v>315</v>
      </c>
      <c r="I9" s="32">
        <f t="shared" si="1"/>
        <v>285</v>
      </c>
      <c r="J9" s="32">
        <f t="shared" si="1"/>
        <v>270</v>
      </c>
      <c r="K9" s="32">
        <f t="shared" si="1"/>
        <v>285</v>
      </c>
      <c r="L9" s="32">
        <f t="shared" si="1"/>
        <v>315</v>
      </c>
      <c r="M9" s="32">
        <f t="shared" si="1"/>
        <v>330</v>
      </c>
      <c r="N9" s="32">
        <f t="shared" si="1"/>
        <v>300</v>
      </c>
      <c r="O9" s="32">
        <f>SUM(C9:N9)</f>
        <v>2425</v>
      </c>
    </row>
    <row r="10" spans="2:15" x14ac:dyDescent="0.35">
      <c r="B10" s="3" t="s">
        <v>63</v>
      </c>
      <c r="C10" s="58">
        <f>'Actuals &amp; Forecast'!C13</f>
        <v>862</v>
      </c>
      <c r="D10" s="58">
        <f>'Actuals &amp; Forecast'!D13</f>
        <v>855</v>
      </c>
      <c r="E10" s="58">
        <f>'Actuals &amp; Forecast'!E13</f>
        <v>845</v>
      </c>
      <c r="F10" s="58">
        <f>'Actuals &amp; Forecast'!F13</f>
        <v>870</v>
      </c>
      <c r="G10" s="58">
        <f>'Actuals &amp; Forecast'!G13</f>
        <v>858</v>
      </c>
      <c r="H10" s="58">
        <f>'Actuals &amp; Forecast'!H13</f>
        <v>866</v>
      </c>
      <c r="I10" s="58">
        <f>'Actuals &amp; Forecast'!I13</f>
        <v>862.74999999999989</v>
      </c>
      <c r="J10" s="58">
        <f>'Actuals &amp; Forecast'!J13</f>
        <v>862.74999999999989</v>
      </c>
      <c r="K10" s="58">
        <f>'Actuals &amp; Forecast'!K13</f>
        <v>862.74999999999989</v>
      </c>
      <c r="L10" s="58">
        <f>'Actuals &amp; Forecast'!L13</f>
        <v>862.74999999999989</v>
      </c>
      <c r="M10" s="58">
        <f>'Actuals &amp; Forecast'!M13</f>
        <v>862.74999999999989</v>
      </c>
      <c r="N10" s="58">
        <f>'Actuals &amp; Forecast'!N13</f>
        <v>862.74999999999989</v>
      </c>
      <c r="O10" s="43">
        <f>IFERROR(O13/O7+O11,0)</f>
        <v>861.07611803144778</v>
      </c>
    </row>
    <row r="11" spans="2:15" x14ac:dyDescent="0.35">
      <c r="B11" s="3" t="s">
        <v>64</v>
      </c>
      <c r="C11" s="58">
        <f>Assumptions!$C$6</f>
        <v>850</v>
      </c>
      <c r="D11" s="58">
        <f>Assumptions!$C$6</f>
        <v>850</v>
      </c>
      <c r="E11" s="58">
        <f>Assumptions!$C$6</f>
        <v>850</v>
      </c>
      <c r="F11" s="58">
        <f>Assumptions!$C$6</f>
        <v>850</v>
      </c>
      <c r="G11" s="58">
        <f>Assumptions!$C$6</f>
        <v>850</v>
      </c>
      <c r="H11" s="58">
        <f>Assumptions!$C$6</f>
        <v>850</v>
      </c>
      <c r="I11" s="58">
        <f>Assumptions!$C$6</f>
        <v>850</v>
      </c>
      <c r="J11" s="58">
        <f>Assumptions!$C$6</f>
        <v>850</v>
      </c>
      <c r="K11" s="58">
        <f>Assumptions!$C$6</f>
        <v>850</v>
      </c>
      <c r="L11" s="58">
        <f>Assumptions!$C$6</f>
        <v>850</v>
      </c>
      <c r="M11" s="58">
        <f>Assumptions!$C$6</f>
        <v>850</v>
      </c>
      <c r="N11" s="58">
        <f>Assumptions!$C$6</f>
        <v>850</v>
      </c>
      <c r="O11" s="43">
        <f>Assumptions!$C$6</f>
        <v>850</v>
      </c>
    </row>
    <row r="12" spans="2:15" x14ac:dyDescent="0.35">
      <c r="B12" s="3" t="s">
        <v>14</v>
      </c>
      <c r="C12" s="58">
        <f>Assumptions!$C$13</f>
        <v>340</v>
      </c>
      <c r="D12" s="58">
        <f>Assumptions!$C$13</f>
        <v>340</v>
      </c>
      <c r="E12" s="58">
        <f>Assumptions!$C$13</f>
        <v>340</v>
      </c>
      <c r="F12" s="58">
        <f>Assumptions!$C$13</f>
        <v>340</v>
      </c>
      <c r="G12" s="58">
        <f>Assumptions!$C$13</f>
        <v>340</v>
      </c>
      <c r="H12" s="58">
        <f>Assumptions!$C$13</f>
        <v>340</v>
      </c>
      <c r="I12" s="58">
        <f>Assumptions!$C$13</f>
        <v>340</v>
      </c>
      <c r="J12" s="58">
        <f>Assumptions!$C$13</f>
        <v>340</v>
      </c>
      <c r="K12" s="58">
        <f>Assumptions!$C$13</f>
        <v>340</v>
      </c>
      <c r="L12" s="58">
        <f>Assumptions!$C$13</f>
        <v>340</v>
      </c>
      <c r="M12" s="58">
        <f>Assumptions!$C$13</f>
        <v>340</v>
      </c>
      <c r="N12" s="58">
        <f>Assumptions!$C$13</f>
        <v>340</v>
      </c>
      <c r="O12" s="43">
        <f>Assumptions!$C$13</f>
        <v>340</v>
      </c>
    </row>
    <row r="13" spans="2:15" x14ac:dyDescent="0.35">
      <c r="B13" s="3" t="s">
        <v>184</v>
      </c>
      <c r="C13" s="35">
        <f>(C10-C11)*C7</f>
        <v>112320</v>
      </c>
      <c r="D13" s="35">
        <f t="shared" ref="D13:N13" si="2">(D10-D11)*D7</f>
        <v>46550</v>
      </c>
      <c r="E13" s="35">
        <f t="shared" si="2"/>
        <v>-53000</v>
      </c>
      <c r="F13" s="35">
        <f>(F10-F11)*F7</f>
        <v>212100</v>
      </c>
      <c r="G13" s="35">
        <f t="shared" si="2"/>
        <v>83600</v>
      </c>
      <c r="H13" s="35">
        <f t="shared" si="2"/>
        <v>173040</v>
      </c>
      <c r="I13" s="35">
        <f t="shared" si="2"/>
        <v>124758.74999999889</v>
      </c>
      <c r="J13" s="35">
        <f t="shared" si="2"/>
        <v>118192.49999999895</v>
      </c>
      <c r="K13" s="35">
        <f t="shared" si="2"/>
        <v>124758.74999999889</v>
      </c>
      <c r="L13" s="35">
        <f t="shared" si="2"/>
        <v>137891.24999999878</v>
      </c>
      <c r="M13" s="35">
        <f t="shared" si="2"/>
        <v>144457.49999999872</v>
      </c>
      <c r="N13" s="35">
        <f t="shared" si="2"/>
        <v>131324.99999999884</v>
      </c>
      <c r="O13" s="35">
        <f>SUM(C13:N13)</f>
        <v>1355993.7499999932</v>
      </c>
    </row>
    <row r="14" spans="2:15" x14ac:dyDescent="0.35">
      <c r="B14" s="3" t="s">
        <v>188</v>
      </c>
      <c r="C14" s="35">
        <f>(C7-C8)*C12</f>
        <v>122400</v>
      </c>
      <c r="D14" s="35">
        <f t="shared" ref="D14:N14" si="3">(D7-D8)*D12</f>
        <v>-64600</v>
      </c>
      <c r="E14" s="35">
        <f t="shared" si="3"/>
        <v>204000</v>
      </c>
      <c r="F14" s="35">
        <f t="shared" si="3"/>
        <v>35700</v>
      </c>
      <c r="G14" s="35">
        <f t="shared" si="3"/>
        <v>-187000</v>
      </c>
      <c r="H14" s="35">
        <f t="shared" si="3"/>
        <v>107100</v>
      </c>
      <c r="I14" s="35">
        <f t="shared" si="3"/>
        <v>96900</v>
      </c>
      <c r="J14" s="35">
        <f t="shared" si="3"/>
        <v>91800</v>
      </c>
      <c r="K14" s="35">
        <f t="shared" si="3"/>
        <v>96900</v>
      </c>
      <c r="L14" s="35">
        <f t="shared" si="3"/>
        <v>107100</v>
      </c>
      <c r="M14" s="35">
        <f t="shared" si="3"/>
        <v>112200</v>
      </c>
      <c r="N14" s="35">
        <f t="shared" si="3"/>
        <v>102000</v>
      </c>
      <c r="O14" s="35">
        <f>SUM(C14:N14)</f>
        <v>824500</v>
      </c>
    </row>
    <row r="15" spans="2:15" x14ac:dyDescent="0.35">
      <c r="B15" s="3" t="s">
        <v>185</v>
      </c>
      <c r="C15" s="35">
        <f>(C7-'Actuals &amp; Forecast'!C$10*Assumptions!$C$15)*C12</f>
        <v>39422.784810126614</v>
      </c>
      <c r="D15" s="35">
        <f>(D7-'Actuals &amp; Forecast'!D$10*Assumptions!$C$15)*D12</f>
        <v>-82245.569620253227</v>
      </c>
      <c r="E15" s="35">
        <f>(E7-'Actuals &amp; Forecast'!E$10*Assumptions!$C$15)*E12</f>
        <v>130318.98734177198</v>
      </c>
      <c r="F15" s="35">
        <f>(F7-'Actuals &amp; Forecast'!F$10*Assumptions!$C$15)*F12</f>
        <v>10824.050632910876</v>
      </c>
      <c r="G15" s="35">
        <f>(G7-'Actuals &amp; Forecast'!G$10*Assumptions!$C$15)*G12</f>
        <v>-197501.26582278489</v>
      </c>
      <c r="H15" s="35">
        <f>(H7-'Actuals &amp; Forecast'!H$10*Assumptions!$C$15)*H12</f>
        <v>1312.6582278475689</v>
      </c>
      <c r="I15" s="35">
        <f>(I7-'Actuals &amp; Forecast'!I$10*Assumptions!$C$15)*I12</f>
        <v>0</v>
      </c>
      <c r="J15" s="35">
        <f>(J7-'Actuals &amp; Forecast'!J$10*Assumptions!$C$15)*J12</f>
        <v>0</v>
      </c>
      <c r="K15" s="35">
        <f>(K7-'Actuals &amp; Forecast'!K$10*Assumptions!$C$15)*K12</f>
        <v>0</v>
      </c>
      <c r="L15" s="35">
        <f>(L7-'Actuals &amp; Forecast'!L$10*Assumptions!$C$15)*L12</f>
        <v>0</v>
      </c>
      <c r="M15" s="35">
        <f>(M7-'Actuals &amp; Forecast'!M$10*Assumptions!$C$15)*M12</f>
        <v>0</v>
      </c>
      <c r="N15" s="35">
        <f>(N7-'Actuals &amp; Forecast'!N$10*Assumptions!$C$15)*N12</f>
        <v>0</v>
      </c>
      <c r="O15" s="35">
        <f>SUM(C15:N15)</f>
        <v>-97868.354430381078</v>
      </c>
    </row>
    <row r="16" spans="2:15" x14ac:dyDescent="0.35">
      <c r="B16" s="3" t="s">
        <v>186</v>
      </c>
      <c r="C16" s="35">
        <f>('Actuals &amp; Forecast'!C$10*Assumptions!$C$15-C8)*C12</f>
        <v>82977.215189873386</v>
      </c>
      <c r="D16" s="35">
        <f>('Actuals &amp; Forecast'!D$10*Assumptions!$C$15-D8)*D12</f>
        <v>17645.569620253227</v>
      </c>
      <c r="E16" s="35">
        <f>('Actuals &amp; Forecast'!E$10*Assumptions!$C$15-E8)*E12</f>
        <v>73681.012658228021</v>
      </c>
      <c r="F16" s="35">
        <f>('Actuals &amp; Forecast'!F$10*Assumptions!$C$15-F8)*F12</f>
        <v>24875.949367089124</v>
      </c>
      <c r="G16" s="35">
        <f>('Actuals &amp; Forecast'!G$10*Assumptions!$C$15-G8)*G12</f>
        <v>10501.265822784881</v>
      </c>
      <c r="H16" s="35">
        <f>('Actuals &amp; Forecast'!H$10*Assumptions!$C$15-H8)*H12</f>
        <v>105787.34177215243</v>
      </c>
      <c r="I16" s="35">
        <f>('Actuals &amp; Forecast'!I$10*Assumptions!$C$15-I8)*I12</f>
        <v>96900</v>
      </c>
      <c r="J16" s="35">
        <f>('Actuals &amp; Forecast'!J$10*Assumptions!$C$15-J8)*J12</f>
        <v>91800</v>
      </c>
      <c r="K16" s="35">
        <f>('Actuals &amp; Forecast'!K$10*Assumptions!$C$15-K8)*K12</f>
        <v>96900</v>
      </c>
      <c r="L16" s="35">
        <f>('Actuals &amp; Forecast'!L$10*Assumptions!$C$15-L8)*L12</f>
        <v>107100</v>
      </c>
      <c r="M16" s="35">
        <f>('Actuals &amp; Forecast'!M$10*Assumptions!$C$15-M8)*M12</f>
        <v>112200</v>
      </c>
      <c r="N16" s="35">
        <f>('Actuals &amp; Forecast'!N$10*Assumptions!$C$15-N8)*N12</f>
        <v>102000</v>
      </c>
      <c r="O16" s="35">
        <f>SUM(C16:N16)</f>
        <v>922368.35443038109</v>
      </c>
    </row>
    <row r="17" spans="2:15" x14ac:dyDescent="0.35">
      <c r="B17" s="33" t="s">
        <v>187</v>
      </c>
      <c r="C17" s="36">
        <f t="shared" ref="C17:N17" si="4">C13+C14</f>
        <v>234720</v>
      </c>
      <c r="D17" s="36">
        <f t="shared" si="4"/>
        <v>-18050</v>
      </c>
      <c r="E17" s="36">
        <f t="shared" si="4"/>
        <v>151000</v>
      </c>
      <c r="F17" s="36">
        <f t="shared" si="4"/>
        <v>247800</v>
      </c>
      <c r="G17" s="36">
        <f t="shared" si="4"/>
        <v>-103400</v>
      </c>
      <c r="H17" s="36">
        <f t="shared" si="4"/>
        <v>280140</v>
      </c>
      <c r="I17" s="36">
        <f t="shared" si="4"/>
        <v>221658.74999999889</v>
      </c>
      <c r="J17" s="36">
        <f t="shared" si="4"/>
        <v>209992.49999999895</v>
      </c>
      <c r="K17" s="36">
        <f t="shared" si="4"/>
        <v>221658.74999999889</v>
      </c>
      <c r="L17" s="36">
        <f t="shared" si="4"/>
        <v>244991.24999999878</v>
      </c>
      <c r="M17" s="36">
        <f t="shared" si="4"/>
        <v>256657.49999999872</v>
      </c>
      <c r="N17" s="36">
        <f t="shared" si="4"/>
        <v>233324.99999999884</v>
      </c>
      <c r="O17" s="36">
        <f>SUM(C17:N17)</f>
        <v>2180493.7499999925</v>
      </c>
    </row>
    <row r="18" spans="2:15" x14ac:dyDescent="0.35">
      <c r="C18" s="35"/>
    </row>
    <row r="19" spans="2:15" x14ac:dyDescent="0.35">
      <c r="B19" s="17" t="s">
        <v>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2:15" x14ac:dyDescent="0.35">
      <c r="B20" s="3" t="s">
        <v>60</v>
      </c>
      <c r="C20" s="32">
        <f>'Actuals &amp; Forecast'!C8</f>
        <v>5184</v>
      </c>
      <c r="D20" s="32">
        <f>'Actuals &amp; Forecast'!D8</f>
        <v>5814</v>
      </c>
      <c r="E20" s="32">
        <f>'Actuals &amp; Forecast'!E8</f>
        <v>5940</v>
      </c>
      <c r="F20" s="32">
        <f>'Actuals &amp; Forecast'!F8</f>
        <v>6615</v>
      </c>
      <c r="G20" s="32">
        <f>'Actuals &amp; Forecast'!G8</f>
        <v>7128</v>
      </c>
      <c r="H20" s="32">
        <f>'Actuals &amp; Forecast'!H8</f>
        <v>6363</v>
      </c>
      <c r="I20" s="32">
        <f>'Actuals &amp; Forecast'!I8</f>
        <v>5871</v>
      </c>
      <c r="J20" s="32">
        <f>'Actuals &amp; Forecast'!J8</f>
        <v>5562</v>
      </c>
      <c r="K20" s="32">
        <f>'Actuals &amp; Forecast'!K8</f>
        <v>5871</v>
      </c>
      <c r="L20" s="32">
        <f>'Actuals &amp; Forecast'!L8</f>
        <v>6489</v>
      </c>
      <c r="M20" s="32">
        <f>'Actuals &amp; Forecast'!M8</f>
        <v>6798.0000000000009</v>
      </c>
      <c r="N20" s="32">
        <f>'Actuals &amp; Forecast'!N8</f>
        <v>6180</v>
      </c>
      <c r="O20" s="32">
        <f>SUM(C20:N20)</f>
        <v>73815</v>
      </c>
    </row>
    <row r="21" spans="2:15" x14ac:dyDescent="0.35">
      <c r="B21" s="3" t="s">
        <v>61</v>
      </c>
      <c r="C21" s="32">
        <f>'Rolling Budget'!C8</f>
        <v>5400</v>
      </c>
      <c r="D21" s="32">
        <f>'Rolling Budget'!D8</f>
        <v>5700</v>
      </c>
      <c r="E21" s="32">
        <f>'Rolling Budget'!E8</f>
        <v>6000</v>
      </c>
      <c r="F21" s="32">
        <f>'Rolling Budget'!F8</f>
        <v>6300</v>
      </c>
      <c r="G21" s="32">
        <f>'Rolling Budget'!G8</f>
        <v>6600.0000000000009</v>
      </c>
      <c r="H21" s="32">
        <f>'Rolling Budget'!H8</f>
        <v>6300</v>
      </c>
      <c r="I21" s="32">
        <f>'Rolling Budget'!I8</f>
        <v>5700</v>
      </c>
      <c r="J21" s="32">
        <f>'Rolling Budget'!J8</f>
        <v>5400</v>
      </c>
      <c r="K21" s="32">
        <f>'Rolling Budget'!K8</f>
        <v>5700</v>
      </c>
      <c r="L21" s="32">
        <f>'Rolling Budget'!L8</f>
        <v>6300</v>
      </c>
      <c r="M21" s="32">
        <f>'Rolling Budget'!M8</f>
        <v>6600.0000000000009</v>
      </c>
      <c r="N21" s="32">
        <f>'Rolling Budget'!N8</f>
        <v>6000</v>
      </c>
      <c r="O21" s="32">
        <f>SUM(C21:N21)</f>
        <v>72000</v>
      </c>
    </row>
    <row r="22" spans="2:15" x14ac:dyDescent="0.35">
      <c r="B22" s="3" t="s">
        <v>62</v>
      </c>
      <c r="C22" s="32">
        <f>C20-C21</f>
        <v>-216</v>
      </c>
      <c r="D22" s="32">
        <f t="shared" ref="D22:N22" si="5">D20-D21</f>
        <v>114</v>
      </c>
      <c r="E22" s="32">
        <f t="shared" si="5"/>
        <v>-60</v>
      </c>
      <c r="F22" s="32">
        <f t="shared" si="5"/>
        <v>315</v>
      </c>
      <c r="G22" s="32">
        <f t="shared" si="5"/>
        <v>527.99999999999909</v>
      </c>
      <c r="H22" s="32">
        <f t="shared" si="5"/>
        <v>63</v>
      </c>
      <c r="I22" s="32">
        <f t="shared" si="5"/>
        <v>171</v>
      </c>
      <c r="J22" s="32">
        <f t="shared" si="5"/>
        <v>162</v>
      </c>
      <c r="K22" s="32">
        <f t="shared" si="5"/>
        <v>171</v>
      </c>
      <c r="L22" s="32">
        <f t="shared" si="5"/>
        <v>189</v>
      </c>
      <c r="M22" s="32">
        <f t="shared" si="5"/>
        <v>198</v>
      </c>
      <c r="N22" s="32">
        <f t="shared" si="5"/>
        <v>180</v>
      </c>
      <c r="O22" s="32">
        <f>SUM(C22:N22)</f>
        <v>1814.9999999999991</v>
      </c>
    </row>
    <row r="23" spans="2:15" x14ac:dyDescent="0.35">
      <c r="B23" s="3" t="s">
        <v>63</v>
      </c>
      <c r="C23" s="43">
        <f>'Actuals &amp; Forecast'!C14</f>
        <v>1235</v>
      </c>
      <c r="D23" s="43">
        <f>'Actuals &amp; Forecast'!D14</f>
        <v>1262</v>
      </c>
      <c r="E23" s="43">
        <f>'Actuals &amp; Forecast'!E14</f>
        <v>1270</v>
      </c>
      <c r="F23" s="43">
        <f>'Actuals &amp; Forecast'!F14</f>
        <v>1248</v>
      </c>
      <c r="G23" s="43">
        <f>'Actuals &amp; Forecast'!G14</f>
        <v>1255</v>
      </c>
      <c r="H23" s="43">
        <f>'Actuals &amp; Forecast'!H14</f>
        <v>1240</v>
      </c>
      <c r="I23" s="43">
        <f>'Actuals &amp; Forecast'!I14</f>
        <v>1268.7499999999998</v>
      </c>
      <c r="J23" s="43">
        <f>'Actuals &amp; Forecast'!J14</f>
        <v>1268.7499999999998</v>
      </c>
      <c r="K23" s="43">
        <f>'Actuals &amp; Forecast'!K14</f>
        <v>1268.7499999999998</v>
      </c>
      <c r="L23" s="43">
        <f>'Actuals &amp; Forecast'!L14</f>
        <v>1268.7499999999998</v>
      </c>
      <c r="M23" s="43">
        <f>'Actuals &amp; Forecast'!M14</f>
        <v>1268.7499999999998</v>
      </c>
      <c r="N23" s="43">
        <f>'Actuals &amp; Forecast'!N14</f>
        <v>1268.7499999999998</v>
      </c>
      <c r="O23" s="43">
        <f>IFERROR(O26/O20+O24,0)</f>
        <v>1260.2830623856939</v>
      </c>
    </row>
    <row r="24" spans="2:15" x14ac:dyDescent="0.35">
      <c r="B24" s="3" t="s">
        <v>64</v>
      </c>
      <c r="C24" s="43">
        <f>Assumptions!$D$6</f>
        <v>1250</v>
      </c>
      <c r="D24" s="43">
        <f>Assumptions!$D$6</f>
        <v>1250</v>
      </c>
      <c r="E24" s="43">
        <f>Assumptions!$D$6</f>
        <v>1250</v>
      </c>
      <c r="F24" s="43">
        <f>Assumptions!$D$6</f>
        <v>1250</v>
      </c>
      <c r="G24" s="43">
        <f>Assumptions!$D$6</f>
        <v>1250</v>
      </c>
      <c r="H24" s="43">
        <f>Assumptions!$D$6</f>
        <v>1250</v>
      </c>
      <c r="I24" s="43">
        <f>Assumptions!$D$6</f>
        <v>1250</v>
      </c>
      <c r="J24" s="43">
        <f>Assumptions!$D$6</f>
        <v>1250</v>
      </c>
      <c r="K24" s="43">
        <f>Assumptions!$D$6</f>
        <v>1250</v>
      </c>
      <c r="L24" s="43">
        <f>Assumptions!$D$6</f>
        <v>1250</v>
      </c>
      <c r="M24" s="43">
        <f>Assumptions!$D$6</f>
        <v>1250</v>
      </c>
      <c r="N24" s="43">
        <f>Assumptions!$D$6</f>
        <v>1250</v>
      </c>
      <c r="O24" s="43">
        <f>Assumptions!$D$6</f>
        <v>1250</v>
      </c>
    </row>
    <row r="25" spans="2:15" x14ac:dyDescent="0.35">
      <c r="B25" s="3" t="s">
        <v>14</v>
      </c>
      <c r="C25" s="43">
        <f>Assumptions!$D$13</f>
        <v>450</v>
      </c>
      <c r="D25" s="43">
        <f>Assumptions!$D$13</f>
        <v>450</v>
      </c>
      <c r="E25" s="43">
        <f>Assumptions!$D$13</f>
        <v>450</v>
      </c>
      <c r="F25" s="43">
        <f>Assumptions!$D$13</f>
        <v>450</v>
      </c>
      <c r="G25" s="43">
        <f>Assumptions!$D$13</f>
        <v>450</v>
      </c>
      <c r="H25" s="43">
        <f>Assumptions!$D$13</f>
        <v>450</v>
      </c>
      <c r="I25" s="43">
        <f>Assumptions!$D$13</f>
        <v>450</v>
      </c>
      <c r="J25" s="43">
        <f>Assumptions!$D$13</f>
        <v>450</v>
      </c>
      <c r="K25" s="43">
        <f>Assumptions!$D$13</f>
        <v>450</v>
      </c>
      <c r="L25" s="43">
        <f>Assumptions!$D$13</f>
        <v>450</v>
      </c>
      <c r="M25" s="43">
        <f>Assumptions!$D$13</f>
        <v>450</v>
      </c>
      <c r="N25" s="43">
        <f>Assumptions!$D$13</f>
        <v>450</v>
      </c>
      <c r="O25" s="43">
        <f>Assumptions!$D$13</f>
        <v>450</v>
      </c>
    </row>
    <row r="26" spans="2:15" x14ac:dyDescent="0.35">
      <c r="B26" s="3" t="s">
        <v>184</v>
      </c>
      <c r="C26" s="35">
        <f>(C23-C24)*C20</f>
        <v>-77760</v>
      </c>
      <c r="D26" s="35">
        <f t="shared" ref="D26:N26" si="6">(D23-D24)*D20</f>
        <v>69768</v>
      </c>
      <c r="E26" s="35">
        <f t="shared" si="6"/>
        <v>118800</v>
      </c>
      <c r="F26" s="35">
        <f t="shared" si="6"/>
        <v>-13230</v>
      </c>
      <c r="G26" s="35">
        <f t="shared" si="6"/>
        <v>35640</v>
      </c>
      <c r="H26" s="35">
        <f t="shared" si="6"/>
        <v>-63630</v>
      </c>
      <c r="I26" s="35">
        <f t="shared" si="6"/>
        <v>110081.24999999866</v>
      </c>
      <c r="J26" s="35">
        <f t="shared" si="6"/>
        <v>104287.49999999873</v>
      </c>
      <c r="K26" s="35">
        <f t="shared" si="6"/>
        <v>110081.24999999866</v>
      </c>
      <c r="L26" s="35">
        <f t="shared" si="6"/>
        <v>121668.74999999853</v>
      </c>
      <c r="M26" s="35">
        <f t="shared" si="6"/>
        <v>127462.49999999847</v>
      </c>
      <c r="N26" s="35">
        <f t="shared" si="6"/>
        <v>115874.99999999859</v>
      </c>
      <c r="O26" s="35">
        <f>SUM(C26:N26)</f>
        <v>759044.24999999162</v>
      </c>
    </row>
    <row r="27" spans="2:15" x14ac:dyDescent="0.35">
      <c r="B27" s="3" t="s">
        <v>188</v>
      </c>
      <c r="C27" s="35">
        <f>C22*C25</f>
        <v>-97200</v>
      </c>
      <c r="D27" s="35">
        <f t="shared" ref="D27:N27" si="7">D22*D25</f>
        <v>51300</v>
      </c>
      <c r="E27" s="35">
        <f t="shared" si="7"/>
        <v>-27000</v>
      </c>
      <c r="F27" s="35">
        <f t="shared" si="7"/>
        <v>141750</v>
      </c>
      <c r="G27" s="35">
        <f t="shared" si="7"/>
        <v>237599.99999999959</v>
      </c>
      <c r="H27" s="35">
        <f t="shared" si="7"/>
        <v>28350</v>
      </c>
      <c r="I27" s="35">
        <f t="shared" si="7"/>
        <v>76950</v>
      </c>
      <c r="J27" s="35">
        <f t="shared" si="7"/>
        <v>72900</v>
      </c>
      <c r="K27" s="35">
        <f t="shared" si="7"/>
        <v>76950</v>
      </c>
      <c r="L27" s="35">
        <f t="shared" si="7"/>
        <v>85050</v>
      </c>
      <c r="M27" s="35">
        <f t="shared" si="7"/>
        <v>89100</v>
      </c>
      <c r="N27" s="35">
        <f t="shared" si="7"/>
        <v>81000</v>
      </c>
      <c r="O27" s="35">
        <f>SUM(C27:N27)</f>
        <v>816749.99999999953</v>
      </c>
    </row>
    <row r="28" spans="2:15" x14ac:dyDescent="0.35">
      <c r="B28" s="3" t="s">
        <v>185</v>
      </c>
      <c r="C28" s="35">
        <f>(C20-'Actuals &amp; Forecast'!C$10*Assumptions!$D$15)*C25</f>
        <v>-163093.670886076</v>
      </c>
      <c r="D28" s="35">
        <f>(D20-'Actuals &amp; Forecast'!D$10*Assumptions!$D$15)*D25</f>
        <v>37287.341772152009</v>
      </c>
      <c r="E28" s="35">
        <f>(E20-'Actuals &amp; Forecast'!E$10*Assumptions!$D$15)*E25</f>
        <v>-85511.392405063263</v>
      </c>
      <c r="F28" s="35">
        <f>(F20-'Actuals &amp; Forecast'!F$10*Assumptions!$D$15)*F25</f>
        <v>121995.56962025308</v>
      </c>
      <c r="G28" s="35">
        <f>(G20-'Actuals &amp; Forecast'!G$10*Assumptions!$D$15)*G25</f>
        <v>229260.75949367092</v>
      </c>
      <c r="H28" s="35">
        <f>(H20-'Actuals &amp; Forecast'!H$10*Assumptions!$D$15)*H25</f>
        <v>-55657.594936709123</v>
      </c>
      <c r="I28" s="35">
        <f>(I20-'Actuals &amp; Forecast'!I$10*Assumptions!$D$15)*I25</f>
        <v>0</v>
      </c>
      <c r="J28" s="35">
        <f>(J20-'Actuals &amp; Forecast'!J$10*Assumptions!$D$15)*J25</f>
        <v>0</v>
      </c>
      <c r="K28" s="35">
        <f>(K20-'Actuals &amp; Forecast'!K$10*Assumptions!$D$15)*K25</f>
        <v>0</v>
      </c>
      <c r="L28" s="35">
        <f>(L20-'Actuals &amp; Forecast'!L$10*Assumptions!$D$15)*L25</f>
        <v>0</v>
      </c>
      <c r="M28" s="35">
        <f>(M20-'Actuals &amp; Forecast'!M$10*Assumptions!$D$15)*M25</f>
        <v>4.0927261579781771E-10</v>
      </c>
      <c r="N28" s="35">
        <f>(N20-'Actuals &amp; Forecast'!N$10*Assumptions!$D$15)*N25</f>
        <v>0</v>
      </c>
      <c r="O28" s="35">
        <f>SUM(C28:N28)</f>
        <v>84281.012658228021</v>
      </c>
    </row>
    <row r="29" spans="2:15" x14ac:dyDescent="0.35">
      <c r="B29" s="3" t="s">
        <v>186</v>
      </c>
      <c r="C29" s="35">
        <f>('Actuals &amp; Forecast'!C$10*Assumptions!$D$15-C21)*C25</f>
        <v>65893.670886076012</v>
      </c>
      <c r="D29" s="35">
        <f>('Actuals &amp; Forecast'!D$10*Assumptions!$D$15-D21)*D25</f>
        <v>14012.658227847987</v>
      </c>
      <c r="E29" s="35">
        <f>('Actuals &amp; Forecast'!E$10*Assumptions!$D$15-E21)*E25</f>
        <v>58511.39240506327</v>
      </c>
      <c r="F29" s="35">
        <f>('Actuals &amp; Forecast'!F$10*Assumptions!$D$15-F21)*F25</f>
        <v>19754.430379746918</v>
      </c>
      <c r="G29" s="35">
        <f>('Actuals &amp; Forecast'!G$10*Assumptions!$D$15-G21)*G25</f>
        <v>8339.2405063286787</v>
      </c>
      <c r="H29" s="35">
        <f>('Actuals &amp; Forecast'!H$10*Assumptions!$D$15-H21)*H25</f>
        <v>84007.594936709123</v>
      </c>
      <c r="I29" s="35">
        <f>('Actuals &amp; Forecast'!I$10*Assumptions!$D$15-I21)*I25</f>
        <v>76950</v>
      </c>
      <c r="J29" s="35">
        <f>('Actuals &amp; Forecast'!J$10*Assumptions!$D$15-J21)*J25</f>
        <v>72900</v>
      </c>
      <c r="K29" s="35">
        <f>('Actuals &amp; Forecast'!K$10*Assumptions!$D$15-K21)*K25</f>
        <v>76950</v>
      </c>
      <c r="L29" s="35">
        <f>('Actuals &amp; Forecast'!L$10*Assumptions!$D$15-L21)*L25</f>
        <v>85050</v>
      </c>
      <c r="M29" s="35">
        <f>('Actuals &amp; Forecast'!M$10*Assumptions!$D$15-M21)*M25</f>
        <v>89099.999999999593</v>
      </c>
      <c r="N29" s="35">
        <f>('Actuals &amp; Forecast'!N$10*Assumptions!$D$15-N21)*N25</f>
        <v>81000</v>
      </c>
      <c r="O29" s="35">
        <f>SUM(C29:N29)</f>
        <v>732468.9873417716</v>
      </c>
    </row>
    <row r="30" spans="2:15" x14ac:dyDescent="0.35">
      <c r="B30" s="33" t="s">
        <v>187</v>
      </c>
      <c r="C30" s="36">
        <f>C26+C27</f>
        <v>-174960</v>
      </c>
      <c r="D30" s="36">
        <f t="shared" ref="D30:N30" si="8">D26+D27</f>
        <v>121068</v>
      </c>
      <c r="E30" s="36">
        <f t="shared" si="8"/>
        <v>91800</v>
      </c>
      <c r="F30" s="36">
        <f t="shared" si="8"/>
        <v>128520</v>
      </c>
      <c r="G30" s="36">
        <f t="shared" si="8"/>
        <v>273239.99999999959</v>
      </c>
      <c r="H30" s="36">
        <f t="shared" si="8"/>
        <v>-35280</v>
      </c>
      <c r="I30" s="36">
        <f t="shared" si="8"/>
        <v>187031.24999999866</v>
      </c>
      <c r="J30" s="36">
        <f t="shared" si="8"/>
        <v>177187.49999999872</v>
      </c>
      <c r="K30" s="36">
        <f t="shared" si="8"/>
        <v>187031.24999999866</v>
      </c>
      <c r="L30" s="36">
        <f t="shared" si="8"/>
        <v>206718.74999999854</v>
      </c>
      <c r="M30" s="36">
        <f t="shared" si="8"/>
        <v>216562.49999999849</v>
      </c>
      <c r="N30" s="36">
        <f t="shared" si="8"/>
        <v>196874.9999999986</v>
      </c>
      <c r="O30" s="36">
        <f>SUM(C30:N30)</f>
        <v>1575794.2499999912</v>
      </c>
    </row>
    <row r="32" spans="2:15" x14ac:dyDescent="0.35">
      <c r="B32" s="17" t="s">
        <v>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2:15" x14ac:dyDescent="0.35">
      <c r="B33" s="3" t="s">
        <v>60</v>
      </c>
      <c r="C33" s="32">
        <f>'Actuals &amp; Forecast'!C9</f>
        <v>3713</v>
      </c>
      <c r="D33" s="32">
        <f>'Actuals &amp; Forecast'!D9</f>
        <v>3741</v>
      </c>
      <c r="E33" s="32">
        <f>'Actuals &amp; Forecast'!E9</f>
        <v>3638</v>
      </c>
      <c r="F33" s="32">
        <f>'Actuals &amp; Forecast'!F9</f>
        <v>3662</v>
      </c>
      <c r="G33" s="32">
        <f>'Actuals &amp; Forecast'!G9</f>
        <v>4208</v>
      </c>
      <c r="H33" s="32">
        <f>'Actuals &amp; Forecast'!H9</f>
        <v>4174</v>
      </c>
      <c r="I33" s="32">
        <f>'Actuals &amp; Forecast'!I9</f>
        <v>3669.375</v>
      </c>
      <c r="J33" s="32">
        <f>'Actuals &amp; Forecast'!J9</f>
        <v>3476.25</v>
      </c>
      <c r="K33" s="32">
        <f>'Actuals &amp; Forecast'!K9</f>
        <v>3669.375</v>
      </c>
      <c r="L33" s="32">
        <f>'Actuals &amp; Forecast'!L9</f>
        <v>4055.625</v>
      </c>
      <c r="M33" s="32">
        <f>'Actuals &amp; Forecast'!M9</f>
        <v>4248.75</v>
      </c>
      <c r="N33" s="32">
        <f>'Actuals &amp; Forecast'!N9</f>
        <v>3862.5</v>
      </c>
      <c r="O33" s="32">
        <f>SUM(C33:N33)</f>
        <v>46117.875</v>
      </c>
    </row>
    <row r="34" spans="2:15" x14ac:dyDescent="0.35">
      <c r="B34" s="3" t="s">
        <v>61</v>
      </c>
      <c r="C34" s="32">
        <f>'Rolling Budget'!C9</f>
        <v>3375</v>
      </c>
      <c r="D34" s="32">
        <f>'Rolling Budget'!D9</f>
        <v>3562.5</v>
      </c>
      <c r="E34" s="32">
        <f>'Rolling Budget'!E9</f>
        <v>3750</v>
      </c>
      <c r="F34" s="32">
        <f>'Rolling Budget'!F9</f>
        <v>3937.5</v>
      </c>
      <c r="G34" s="32">
        <f>'Rolling Budget'!G9</f>
        <v>4125</v>
      </c>
      <c r="H34" s="32">
        <f>'Rolling Budget'!H9</f>
        <v>3937.5</v>
      </c>
      <c r="I34" s="32">
        <f>'Rolling Budget'!I9</f>
        <v>3562.5</v>
      </c>
      <c r="J34" s="32">
        <f>'Rolling Budget'!J9</f>
        <v>3375</v>
      </c>
      <c r="K34" s="32">
        <f>'Rolling Budget'!K9</f>
        <v>3562.5</v>
      </c>
      <c r="L34" s="32">
        <f>'Rolling Budget'!L9</f>
        <v>3937.5</v>
      </c>
      <c r="M34" s="32">
        <f>'Rolling Budget'!M9</f>
        <v>4125</v>
      </c>
      <c r="N34" s="32">
        <f>'Rolling Budget'!N9</f>
        <v>3750</v>
      </c>
      <c r="O34" s="32">
        <f>SUM(C34:N34)</f>
        <v>45000</v>
      </c>
    </row>
    <row r="35" spans="2:15" x14ac:dyDescent="0.35">
      <c r="B35" s="3" t="s">
        <v>62</v>
      </c>
      <c r="C35" s="32">
        <f>C33-C34</f>
        <v>338</v>
      </c>
      <c r="D35" s="32">
        <f t="shared" ref="D35:N35" si="9">D33-D34</f>
        <v>178.5</v>
      </c>
      <c r="E35" s="32">
        <f t="shared" si="9"/>
        <v>-112</v>
      </c>
      <c r="F35" s="32">
        <f t="shared" si="9"/>
        <v>-275.5</v>
      </c>
      <c r="G35" s="32">
        <f t="shared" si="9"/>
        <v>83</v>
      </c>
      <c r="H35" s="32">
        <f t="shared" si="9"/>
        <v>236.5</v>
      </c>
      <c r="I35" s="32">
        <f t="shared" si="9"/>
        <v>106.875</v>
      </c>
      <c r="J35" s="32">
        <f t="shared" si="9"/>
        <v>101.25</v>
      </c>
      <c r="K35" s="32">
        <f t="shared" si="9"/>
        <v>106.875</v>
      </c>
      <c r="L35" s="32">
        <f t="shared" si="9"/>
        <v>118.125</v>
      </c>
      <c r="M35" s="32">
        <f t="shared" si="9"/>
        <v>123.75</v>
      </c>
      <c r="N35" s="32">
        <f t="shared" si="9"/>
        <v>112.5</v>
      </c>
      <c r="O35" s="32">
        <f>SUM(C35:N35)</f>
        <v>1117.875</v>
      </c>
    </row>
    <row r="36" spans="2:15" x14ac:dyDescent="0.35">
      <c r="B36" s="3" t="s">
        <v>63</v>
      </c>
      <c r="C36" s="43">
        <f>'Actuals &amp; Forecast'!C15</f>
        <v>2150</v>
      </c>
      <c r="D36" s="43">
        <f>'Actuals &amp; Forecast'!D15</f>
        <v>2120</v>
      </c>
      <c r="E36" s="43">
        <f>'Actuals &amp; Forecast'!E15</f>
        <v>2085</v>
      </c>
      <c r="F36" s="43">
        <f>'Actuals &amp; Forecast'!F15</f>
        <v>2110</v>
      </c>
      <c r="G36" s="43">
        <f>'Actuals &amp; Forecast'!G15</f>
        <v>2160</v>
      </c>
      <c r="H36" s="43">
        <f>'Actuals &amp; Forecast'!H15</f>
        <v>2135</v>
      </c>
      <c r="I36" s="43">
        <f>'Actuals &amp; Forecast'!I15</f>
        <v>2131.5</v>
      </c>
      <c r="J36" s="43">
        <f>'Actuals &amp; Forecast'!J15</f>
        <v>2131.5</v>
      </c>
      <c r="K36" s="43">
        <f>'Actuals &amp; Forecast'!K15</f>
        <v>2131.5</v>
      </c>
      <c r="L36" s="43">
        <f>'Actuals &amp; Forecast'!L15</f>
        <v>2131.5</v>
      </c>
      <c r="M36" s="43">
        <f>'Actuals &amp; Forecast'!M15</f>
        <v>2131.5</v>
      </c>
      <c r="N36" s="43">
        <f>'Actuals &amp; Forecast'!N15</f>
        <v>2131.5</v>
      </c>
      <c r="O36" s="43">
        <f>IFERROR(O39/O33+O37,0)</f>
        <v>2129.5984813372256</v>
      </c>
    </row>
    <row r="37" spans="2:15" x14ac:dyDescent="0.35">
      <c r="B37" s="3" t="s">
        <v>64</v>
      </c>
      <c r="C37" s="43">
        <f>Assumptions!$E$6</f>
        <v>2100</v>
      </c>
      <c r="D37" s="43">
        <f>Assumptions!$E$6</f>
        <v>2100</v>
      </c>
      <c r="E37" s="43">
        <f>Assumptions!$E$6</f>
        <v>2100</v>
      </c>
      <c r="F37" s="43">
        <f>Assumptions!$E$6</f>
        <v>2100</v>
      </c>
      <c r="G37" s="43">
        <f>Assumptions!$E$6</f>
        <v>2100</v>
      </c>
      <c r="H37" s="43">
        <f>Assumptions!$E$6</f>
        <v>2100</v>
      </c>
      <c r="I37" s="43">
        <f>Assumptions!$E$6</f>
        <v>2100</v>
      </c>
      <c r="J37" s="43">
        <f>Assumptions!$E$6</f>
        <v>2100</v>
      </c>
      <c r="K37" s="43">
        <f>Assumptions!$E$6</f>
        <v>2100</v>
      </c>
      <c r="L37" s="43">
        <f>Assumptions!$E$6</f>
        <v>2100</v>
      </c>
      <c r="M37" s="43">
        <f>Assumptions!$E$6</f>
        <v>2100</v>
      </c>
      <c r="N37" s="43">
        <f>Assumptions!$E$6</f>
        <v>2100</v>
      </c>
      <c r="O37" s="43">
        <f>Assumptions!$E$6</f>
        <v>2100</v>
      </c>
    </row>
    <row r="38" spans="2:15" x14ac:dyDescent="0.35">
      <c r="B38" s="3" t="s">
        <v>14</v>
      </c>
      <c r="C38" s="43">
        <f>Assumptions!$E$13</f>
        <v>776</v>
      </c>
      <c r="D38" s="43">
        <f>Assumptions!$E$13</f>
        <v>776</v>
      </c>
      <c r="E38" s="43">
        <f>Assumptions!$E$13</f>
        <v>776</v>
      </c>
      <c r="F38" s="43">
        <f>Assumptions!$E$13</f>
        <v>776</v>
      </c>
      <c r="G38" s="43">
        <f>Assumptions!$E$13</f>
        <v>776</v>
      </c>
      <c r="H38" s="43">
        <f>Assumptions!$E$13</f>
        <v>776</v>
      </c>
      <c r="I38" s="43">
        <f>Assumptions!$E$13</f>
        <v>776</v>
      </c>
      <c r="J38" s="43">
        <f>Assumptions!$E$13</f>
        <v>776</v>
      </c>
      <c r="K38" s="43">
        <f>Assumptions!$E$13</f>
        <v>776</v>
      </c>
      <c r="L38" s="43">
        <f>Assumptions!$E$13</f>
        <v>776</v>
      </c>
      <c r="M38" s="43">
        <f>Assumptions!$E$13</f>
        <v>776</v>
      </c>
      <c r="N38" s="43">
        <f>Assumptions!$E$13</f>
        <v>776</v>
      </c>
      <c r="O38" s="43">
        <f>Assumptions!$E$13</f>
        <v>776</v>
      </c>
    </row>
    <row r="39" spans="2:15" x14ac:dyDescent="0.35">
      <c r="B39" s="3" t="s">
        <v>184</v>
      </c>
      <c r="C39" s="35">
        <f>(C36-C37)*C33</f>
        <v>185650</v>
      </c>
      <c r="D39" s="35">
        <f t="shared" ref="D39:N39" si="10">(D36-D37)*D33</f>
        <v>74820</v>
      </c>
      <c r="E39" s="35">
        <f t="shared" si="10"/>
        <v>-54570</v>
      </c>
      <c r="F39" s="35">
        <f t="shared" si="10"/>
        <v>36620</v>
      </c>
      <c r="G39" s="35">
        <f t="shared" si="10"/>
        <v>252480</v>
      </c>
      <c r="H39" s="35">
        <f t="shared" si="10"/>
        <v>146090</v>
      </c>
      <c r="I39" s="35">
        <f t="shared" si="10"/>
        <v>115585.3125</v>
      </c>
      <c r="J39" s="35">
        <f t="shared" si="10"/>
        <v>109501.875</v>
      </c>
      <c r="K39" s="35">
        <f t="shared" si="10"/>
        <v>115585.3125</v>
      </c>
      <c r="L39" s="35">
        <f t="shared" si="10"/>
        <v>127752.1875</v>
      </c>
      <c r="M39" s="35">
        <f t="shared" si="10"/>
        <v>133835.625</v>
      </c>
      <c r="N39" s="35">
        <f t="shared" si="10"/>
        <v>121668.75</v>
      </c>
      <c r="O39" s="35">
        <f>SUM(C39:N39)</f>
        <v>1365019.0625</v>
      </c>
    </row>
    <row r="40" spans="2:15" x14ac:dyDescent="0.35">
      <c r="B40" s="3" t="s">
        <v>188</v>
      </c>
      <c r="C40" s="35">
        <f>C35*C38</f>
        <v>262288</v>
      </c>
      <c r="D40" s="35">
        <f t="shared" ref="D40:N40" si="11">D35*D38</f>
        <v>138516</v>
      </c>
      <c r="E40" s="35">
        <f t="shared" si="11"/>
        <v>-86912</v>
      </c>
      <c r="F40" s="35">
        <f t="shared" si="11"/>
        <v>-213788</v>
      </c>
      <c r="G40" s="35">
        <f t="shared" si="11"/>
        <v>64408</v>
      </c>
      <c r="H40" s="35">
        <f t="shared" si="11"/>
        <v>183524</v>
      </c>
      <c r="I40" s="35">
        <f t="shared" si="11"/>
        <v>82935</v>
      </c>
      <c r="J40" s="35">
        <f t="shared" si="11"/>
        <v>78570</v>
      </c>
      <c r="K40" s="35">
        <f t="shared" si="11"/>
        <v>82935</v>
      </c>
      <c r="L40" s="35">
        <f t="shared" si="11"/>
        <v>91665</v>
      </c>
      <c r="M40" s="35">
        <f t="shared" si="11"/>
        <v>96030</v>
      </c>
      <c r="N40" s="35">
        <f t="shared" si="11"/>
        <v>87300</v>
      </c>
      <c r="O40" s="35">
        <f>SUM(C40:N40)</f>
        <v>867471</v>
      </c>
    </row>
    <row r="41" spans="2:15" x14ac:dyDescent="0.35">
      <c r="B41" s="3" t="s">
        <v>185</v>
      </c>
      <c r="C41" s="35">
        <f>(C33-'Actuals &amp; Forecast'!C$10*Assumptions!$E$15)*C38</f>
        <v>191269.26582278448</v>
      </c>
      <c r="D41" s="35">
        <f>(D33-'Actuals &amp; Forecast'!D$10*Assumptions!$E$15)*D38</f>
        <v>123413.46835443033</v>
      </c>
      <c r="E41" s="35">
        <f>(E33-'Actuals &amp; Forecast'!E$10*Assumptions!$E$15)*E38</f>
        <v>-149974.278481013</v>
      </c>
      <c r="F41" s="35">
        <f>(F33-'Actuals &amp; Forecast'!F$10*Assumptions!$E$15)*F38</f>
        <v>-235078.88607594947</v>
      </c>
      <c r="G41" s="35">
        <f>(G33-'Actuals &amp; Forecast'!G$10*Assumptions!$E$15)*G38</f>
        <v>55420.151898734293</v>
      </c>
      <c r="H41" s="35">
        <f>(H33-'Actuals &amp; Forecast'!H$10*Assumptions!$E$15)*H38</f>
        <v>92982.481012658129</v>
      </c>
      <c r="I41" s="35">
        <f>(I33-'Actuals &amp; Forecast'!I$10*Assumptions!$E$15)*I38</f>
        <v>-3.5288394428789616E-10</v>
      </c>
      <c r="J41" s="35">
        <f>(J33-'Actuals &amp; Forecast'!J$10*Assumptions!$E$15)*J38</f>
        <v>-3.5288394428789616E-10</v>
      </c>
      <c r="K41" s="35">
        <f>(K33-'Actuals &amp; Forecast'!K$10*Assumptions!$E$15)*K38</f>
        <v>-3.5288394428789616E-10</v>
      </c>
      <c r="L41" s="35">
        <f>(L33-'Actuals &amp; Forecast'!L$10*Assumptions!$E$15)*L38</f>
        <v>-3.5288394428789616E-10</v>
      </c>
      <c r="M41" s="35">
        <f>(M33-'Actuals &amp; Forecast'!M$10*Assumptions!$E$15)*M38</f>
        <v>0</v>
      </c>
      <c r="N41" s="35">
        <f>(N33-'Actuals &amp; Forecast'!N$10*Assumptions!$E$15)*N38</f>
        <v>-3.5288394428789616E-10</v>
      </c>
      <c r="O41" s="35">
        <f>SUM(C41:N41)</f>
        <v>78032.202531643008</v>
      </c>
    </row>
    <row r="42" spans="2:15" x14ac:dyDescent="0.35">
      <c r="B42" s="3" t="s">
        <v>186</v>
      </c>
      <c r="C42" s="35">
        <f>('Actuals &amp; Forecast'!C$10*Assumptions!$E$15-C34)*C38</f>
        <v>71018.73417721552</v>
      </c>
      <c r="D42" s="35">
        <f>('Actuals &amp; Forecast'!D$10*Assumptions!$E$15-D34)*D38</f>
        <v>15102.531645569674</v>
      </c>
      <c r="E42" s="35">
        <f>('Actuals &amp; Forecast'!E$10*Assumptions!$E$15-E34)*E38</f>
        <v>63062.278481012989</v>
      </c>
      <c r="F42" s="35">
        <f>('Actuals &amp; Forecast'!F$10*Assumptions!$E$15-F34)*F38</f>
        <v>21290.886075949456</v>
      </c>
      <c r="G42" s="35">
        <f>('Actuals &amp; Forecast'!G$10*Assumptions!$E$15-G34)*G38</f>
        <v>8987.8481012657066</v>
      </c>
      <c r="H42" s="35">
        <f>('Actuals &amp; Forecast'!H$10*Assumptions!$E$15-H34)*H38</f>
        <v>90541.518987341871</v>
      </c>
      <c r="I42" s="35">
        <f>('Actuals &amp; Forecast'!I$10*Assumptions!$E$15-I34)*I38</f>
        <v>82935.000000000349</v>
      </c>
      <c r="J42" s="35">
        <f>('Actuals &amp; Forecast'!J$10*Assumptions!$E$15-J34)*J38</f>
        <v>78570.000000000349</v>
      </c>
      <c r="K42" s="35">
        <f>('Actuals &amp; Forecast'!K$10*Assumptions!$E$15-K34)*K38</f>
        <v>82935.000000000349</v>
      </c>
      <c r="L42" s="35">
        <f>('Actuals &amp; Forecast'!L$10*Assumptions!$E$15-L34)*L38</f>
        <v>91665.000000000349</v>
      </c>
      <c r="M42" s="35">
        <f>('Actuals &amp; Forecast'!M$10*Assumptions!$E$15-M34)*M38</f>
        <v>96030</v>
      </c>
      <c r="N42" s="35">
        <f>('Actuals &amp; Forecast'!N$10*Assumptions!$E$15-N34)*N38</f>
        <v>87300.000000000349</v>
      </c>
      <c r="O42" s="35">
        <f>SUM(C42:N42)</f>
        <v>789438.7974683569</v>
      </c>
    </row>
    <row r="43" spans="2:15" x14ac:dyDescent="0.35">
      <c r="B43" s="33" t="s">
        <v>187</v>
      </c>
      <c r="C43" s="36">
        <f>C39+C40</f>
        <v>447938</v>
      </c>
      <c r="D43" s="36">
        <f t="shared" ref="D43:N43" si="12">D39+D40</f>
        <v>213336</v>
      </c>
      <c r="E43" s="36">
        <f t="shared" si="12"/>
        <v>-141482</v>
      </c>
      <c r="F43" s="36">
        <f t="shared" si="12"/>
        <v>-177168</v>
      </c>
      <c r="G43" s="36">
        <f t="shared" si="12"/>
        <v>316888</v>
      </c>
      <c r="H43" s="36">
        <f t="shared" si="12"/>
        <v>329614</v>
      </c>
      <c r="I43" s="36">
        <f t="shared" si="12"/>
        <v>198520.3125</v>
      </c>
      <c r="J43" s="36">
        <f t="shared" si="12"/>
        <v>188071.875</v>
      </c>
      <c r="K43" s="36">
        <f t="shared" si="12"/>
        <v>198520.3125</v>
      </c>
      <c r="L43" s="36">
        <f t="shared" si="12"/>
        <v>219417.1875</v>
      </c>
      <c r="M43" s="36">
        <f t="shared" si="12"/>
        <v>229865.625</v>
      </c>
      <c r="N43" s="36">
        <f t="shared" si="12"/>
        <v>208968.75</v>
      </c>
      <c r="O43" s="36">
        <f>SUM(C43:N43)</f>
        <v>2232490.0625</v>
      </c>
    </row>
    <row r="45" spans="2:15" x14ac:dyDescent="0.35">
      <c r="B45" s="17" t="s">
        <v>124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2:15" x14ac:dyDescent="0.35">
      <c r="B46" s="3" t="s">
        <v>189</v>
      </c>
      <c r="C46" s="35">
        <f t="shared" ref="C46:N46" si="13">C13+C26+C39</f>
        <v>220210</v>
      </c>
      <c r="D46" s="35">
        <f t="shared" si="13"/>
        <v>191138</v>
      </c>
      <c r="E46" s="35">
        <f t="shared" si="13"/>
        <v>11230</v>
      </c>
      <c r="F46" s="35">
        <f t="shared" si="13"/>
        <v>235490</v>
      </c>
      <c r="G46" s="35">
        <f t="shared" si="13"/>
        <v>371720</v>
      </c>
      <c r="H46" s="35">
        <f t="shared" si="13"/>
        <v>255500</v>
      </c>
      <c r="I46" s="35">
        <f t="shared" si="13"/>
        <v>350425.31249999756</v>
      </c>
      <c r="J46" s="35">
        <f t="shared" si="13"/>
        <v>331981.87499999767</v>
      </c>
      <c r="K46" s="35">
        <f t="shared" si="13"/>
        <v>350425.31249999756</v>
      </c>
      <c r="L46" s="35">
        <f t="shared" si="13"/>
        <v>387312.18749999732</v>
      </c>
      <c r="M46" s="35">
        <f t="shared" si="13"/>
        <v>405755.62499999721</v>
      </c>
      <c r="N46" s="35">
        <f t="shared" si="13"/>
        <v>368868.74999999744</v>
      </c>
      <c r="O46" s="35">
        <f>SUM(C46:N46)</f>
        <v>3480057.0624999851</v>
      </c>
    </row>
    <row r="47" spans="2:15" x14ac:dyDescent="0.35">
      <c r="B47" s="3" t="s">
        <v>190</v>
      </c>
      <c r="C47" s="35">
        <f t="shared" ref="C47:N47" si="14">C14+C27+C40</f>
        <v>287488</v>
      </c>
      <c r="D47" s="35">
        <f t="shared" si="14"/>
        <v>125216</v>
      </c>
      <c r="E47" s="35">
        <f t="shared" si="14"/>
        <v>90088</v>
      </c>
      <c r="F47" s="35">
        <f t="shared" si="14"/>
        <v>-36338</v>
      </c>
      <c r="G47" s="35">
        <f t="shared" si="14"/>
        <v>115007.99999999959</v>
      </c>
      <c r="H47" s="35">
        <f t="shared" si="14"/>
        <v>318974</v>
      </c>
      <c r="I47" s="35">
        <f t="shared" si="14"/>
        <v>256785</v>
      </c>
      <c r="J47" s="35">
        <f t="shared" si="14"/>
        <v>243270</v>
      </c>
      <c r="K47" s="35">
        <f t="shared" si="14"/>
        <v>256785</v>
      </c>
      <c r="L47" s="35">
        <f t="shared" si="14"/>
        <v>283815</v>
      </c>
      <c r="M47" s="35">
        <f t="shared" si="14"/>
        <v>297330</v>
      </c>
      <c r="N47" s="35">
        <f t="shared" si="14"/>
        <v>270300</v>
      </c>
      <c r="O47" s="35">
        <f>SUM(C47:N47)</f>
        <v>2508720.9999999995</v>
      </c>
    </row>
    <row r="48" spans="2:15" x14ac:dyDescent="0.35">
      <c r="B48" s="3" t="s">
        <v>191</v>
      </c>
      <c r="C48" s="35">
        <f>C15+C28+C41</f>
        <v>67598.379746835097</v>
      </c>
      <c r="D48" s="35">
        <f t="shared" ref="D48:N48" si="15">D15+D28+D41</f>
        <v>78455.240506329108</v>
      </c>
      <c r="E48" s="35">
        <f t="shared" si="15"/>
        <v>-105166.68354430428</v>
      </c>
      <c r="F48" s="35">
        <f t="shared" si="15"/>
        <v>-102259.2658227855</v>
      </c>
      <c r="G48" s="35">
        <f t="shared" si="15"/>
        <v>87179.645569620334</v>
      </c>
      <c r="H48" s="35">
        <f t="shared" si="15"/>
        <v>38637.544303796574</v>
      </c>
      <c r="I48" s="35">
        <f>I15+I28+I41</f>
        <v>-3.5288394428789616E-10</v>
      </c>
      <c r="J48" s="35">
        <f t="shared" si="15"/>
        <v>-3.5288394428789616E-10</v>
      </c>
      <c r="K48" s="35">
        <f t="shared" si="15"/>
        <v>-3.5288394428789616E-10</v>
      </c>
      <c r="L48" s="35">
        <f t="shared" si="15"/>
        <v>-3.5288394428789616E-10</v>
      </c>
      <c r="M48" s="35">
        <f t="shared" si="15"/>
        <v>4.0927261579781771E-10</v>
      </c>
      <c r="N48" s="35">
        <f t="shared" si="15"/>
        <v>-3.5288394428789616E-10</v>
      </c>
      <c r="O48" s="35">
        <f>SUM(C48:N48)</f>
        <v>64444.860759489995</v>
      </c>
    </row>
    <row r="49" spans="2:15" x14ac:dyDescent="0.35">
      <c r="B49" s="3" t="s">
        <v>192</v>
      </c>
      <c r="C49" s="35">
        <f>C16+C29+C42</f>
        <v>219889.62025316493</v>
      </c>
      <c r="D49" s="35">
        <f t="shared" ref="D49:N49" si="16">D16+D29+D42</f>
        <v>46760.759493670892</v>
      </c>
      <c r="E49" s="35">
        <f t="shared" si="16"/>
        <v>195254.68354430428</v>
      </c>
      <c r="F49" s="35">
        <f t="shared" si="16"/>
        <v>65921.265822785499</v>
      </c>
      <c r="G49" s="35">
        <f t="shared" si="16"/>
        <v>27828.354430379266</v>
      </c>
      <c r="H49" s="35">
        <f t="shared" si="16"/>
        <v>280336.4556962034</v>
      </c>
      <c r="I49" s="35">
        <f t="shared" si="16"/>
        <v>256785.00000000035</v>
      </c>
      <c r="J49" s="35">
        <f t="shared" si="16"/>
        <v>243270.00000000035</v>
      </c>
      <c r="K49" s="35">
        <f t="shared" si="16"/>
        <v>256785.00000000035</v>
      </c>
      <c r="L49" s="35">
        <f t="shared" si="16"/>
        <v>283815.00000000035</v>
      </c>
      <c r="M49" s="35">
        <f t="shared" si="16"/>
        <v>297329.99999999959</v>
      </c>
      <c r="N49" s="35">
        <f t="shared" si="16"/>
        <v>270300.00000000035</v>
      </c>
      <c r="O49" s="35">
        <f>SUM(C49:N49)</f>
        <v>2444276.1392405098</v>
      </c>
    </row>
    <row r="50" spans="2:15" x14ac:dyDescent="0.35">
      <c r="B50" s="37" t="s">
        <v>193</v>
      </c>
      <c r="C50" s="38">
        <f>C46+C47</f>
        <v>507698</v>
      </c>
      <c r="D50" s="38">
        <f t="shared" ref="D50:N50" si="17">D46+D47</f>
        <v>316354</v>
      </c>
      <c r="E50" s="38">
        <f t="shared" si="17"/>
        <v>101318</v>
      </c>
      <c r="F50" s="38">
        <f t="shared" si="17"/>
        <v>199152</v>
      </c>
      <c r="G50" s="38">
        <f t="shared" si="17"/>
        <v>486727.99999999959</v>
      </c>
      <c r="H50" s="38">
        <f t="shared" si="17"/>
        <v>574474</v>
      </c>
      <c r="I50" s="38">
        <f t="shared" si="17"/>
        <v>607210.31249999756</v>
      </c>
      <c r="J50" s="38">
        <f t="shared" si="17"/>
        <v>575251.87499999767</v>
      </c>
      <c r="K50" s="38">
        <f t="shared" si="17"/>
        <v>607210.31249999756</v>
      </c>
      <c r="L50" s="38">
        <f t="shared" si="17"/>
        <v>671127.18749999732</v>
      </c>
      <c r="M50" s="38">
        <f t="shared" si="17"/>
        <v>703085.62499999721</v>
      </c>
      <c r="N50" s="38">
        <f t="shared" si="17"/>
        <v>639168.74999999744</v>
      </c>
      <c r="O50" s="38">
        <f>SUM(C50:N50)</f>
        <v>5988778.0624999842</v>
      </c>
    </row>
    <row r="51" spans="2:15" x14ac:dyDescent="0.35">
      <c r="B51" s="13" t="s">
        <v>182</v>
      </c>
      <c r="C51" s="45" t="str">
        <f>IF(C50&gt;0,"F","U")</f>
        <v>F</v>
      </c>
      <c r="D51" s="45" t="str">
        <f t="shared" ref="D51:N51" si="18">IF(D50&gt;0,"F","U")</f>
        <v>F</v>
      </c>
      <c r="E51" s="45" t="str">
        <f t="shared" si="18"/>
        <v>F</v>
      </c>
      <c r="F51" s="45" t="str">
        <f t="shared" si="18"/>
        <v>F</v>
      </c>
      <c r="G51" s="45" t="str">
        <f t="shared" si="18"/>
        <v>F</v>
      </c>
      <c r="H51" s="45" t="str">
        <f t="shared" si="18"/>
        <v>F</v>
      </c>
      <c r="I51" s="45" t="str">
        <f t="shared" si="18"/>
        <v>F</v>
      </c>
      <c r="J51" s="45" t="str">
        <f t="shared" si="18"/>
        <v>F</v>
      </c>
      <c r="K51" s="45" t="str">
        <f t="shared" si="18"/>
        <v>F</v>
      </c>
      <c r="L51" s="45" t="str">
        <f t="shared" si="18"/>
        <v>F</v>
      </c>
      <c r="M51" s="45" t="str">
        <f t="shared" si="18"/>
        <v>F</v>
      </c>
      <c r="N51" s="45" t="str">
        <f t="shared" si="18"/>
        <v>F</v>
      </c>
      <c r="O51" s="45" t="str">
        <f>IF(O50&gt;0,"F","U")</f>
        <v>F</v>
      </c>
    </row>
    <row r="53" spans="2:15" x14ac:dyDescent="0.35">
      <c r="B53" s="13" t="s">
        <v>112</v>
      </c>
    </row>
    <row r="54" spans="2:15" x14ac:dyDescent="0.35">
      <c r="B54" s="3" t="s">
        <v>207</v>
      </c>
      <c r="C54" s="32">
        <f t="shared" ref="C54:O54" si="19">ROUND(C15+C16-C14,2)</f>
        <v>0</v>
      </c>
      <c r="D54" s="32">
        <f t="shared" si="19"/>
        <v>0</v>
      </c>
      <c r="E54" s="32">
        <f t="shared" si="19"/>
        <v>0</v>
      </c>
      <c r="F54" s="32">
        <f t="shared" si="19"/>
        <v>0</v>
      </c>
      <c r="G54" s="32">
        <f t="shared" si="19"/>
        <v>0</v>
      </c>
      <c r="H54" s="32">
        <f t="shared" si="19"/>
        <v>0</v>
      </c>
      <c r="I54" s="32">
        <f t="shared" si="19"/>
        <v>0</v>
      </c>
      <c r="J54" s="32">
        <f t="shared" si="19"/>
        <v>0</v>
      </c>
      <c r="K54" s="32">
        <f t="shared" si="19"/>
        <v>0</v>
      </c>
      <c r="L54" s="32">
        <f t="shared" si="19"/>
        <v>0</v>
      </c>
      <c r="M54" s="32">
        <f t="shared" si="19"/>
        <v>0</v>
      </c>
      <c r="N54" s="32">
        <f t="shared" si="19"/>
        <v>0</v>
      </c>
      <c r="O54" s="32">
        <f t="shared" si="19"/>
        <v>0</v>
      </c>
    </row>
    <row r="55" spans="2:15" x14ac:dyDescent="0.35">
      <c r="B55" s="3" t="s">
        <v>208</v>
      </c>
      <c r="C55" s="32">
        <f>ROUND(C28+C29-C27,2)</f>
        <v>0</v>
      </c>
      <c r="D55" s="32">
        <f t="shared" ref="D55:O55" si="20">ROUND(D28+D29-D27,2)</f>
        <v>0</v>
      </c>
      <c r="E55" s="32">
        <f t="shared" si="20"/>
        <v>0</v>
      </c>
      <c r="F55" s="32">
        <f t="shared" si="20"/>
        <v>0</v>
      </c>
      <c r="G55" s="32">
        <f t="shared" si="20"/>
        <v>0</v>
      </c>
      <c r="H55" s="32">
        <f t="shared" si="20"/>
        <v>0</v>
      </c>
      <c r="I55" s="32">
        <f t="shared" si="20"/>
        <v>0</v>
      </c>
      <c r="J55" s="32">
        <f t="shared" si="20"/>
        <v>0</v>
      </c>
      <c r="K55" s="32">
        <f t="shared" si="20"/>
        <v>0</v>
      </c>
      <c r="L55" s="32">
        <f t="shared" si="20"/>
        <v>0</v>
      </c>
      <c r="M55" s="32">
        <f t="shared" si="20"/>
        <v>0</v>
      </c>
      <c r="N55" s="32">
        <f t="shared" si="20"/>
        <v>0</v>
      </c>
      <c r="O55" s="32">
        <f t="shared" si="20"/>
        <v>0</v>
      </c>
    </row>
    <row r="56" spans="2:15" x14ac:dyDescent="0.35">
      <c r="B56" s="3" t="s">
        <v>209</v>
      </c>
      <c r="C56" s="32">
        <f>ROUND(C41+C42-C40,2)</f>
        <v>0</v>
      </c>
      <c r="D56" s="32">
        <f t="shared" ref="D56:O56" si="21">ROUND(D41+D42-D40,2)</f>
        <v>0</v>
      </c>
      <c r="E56" s="32">
        <f t="shared" si="21"/>
        <v>0</v>
      </c>
      <c r="F56" s="32">
        <f t="shared" si="21"/>
        <v>0</v>
      </c>
      <c r="G56" s="32">
        <f t="shared" si="21"/>
        <v>0</v>
      </c>
      <c r="H56" s="32">
        <f t="shared" si="21"/>
        <v>0</v>
      </c>
      <c r="I56" s="32">
        <f t="shared" si="21"/>
        <v>0</v>
      </c>
      <c r="J56" s="32">
        <f t="shared" si="21"/>
        <v>0</v>
      </c>
      <c r="K56" s="32">
        <f t="shared" si="21"/>
        <v>0</v>
      </c>
      <c r="L56" s="32">
        <f t="shared" si="21"/>
        <v>0</v>
      </c>
      <c r="M56" s="32">
        <f t="shared" si="21"/>
        <v>0</v>
      </c>
      <c r="N56" s="32">
        <f t="shared" si="21"/>
        <v>0</v>
      </c>
      <c r="O56" s="32">
        <f t="shared" si="21"/>
        <v>0</v>
      </c>
    </row>
    <row r="57" spans="2:15" x14ac:dyDescent="0.35">
      <c r="B57" s="3" t="s">
        <v>210</v>
      </c>
      <c r="C57" s="32">
        <f>ROUND(C48+C49-C47,2)</f>
        <v>0</v>
      </c>
      <c r="D57" s="32">
        <f t="shared" ref="D57:O57" si="22">ROUND(D48+D49-D47,2)</f>
        <v>0</v>
      </c>
      <c r="E57" s="32">
        <f t="shared" si="22"/>
        <v>0</v>
      </c>
      <c r="F57" s="32">
        <f t="shared" si="22"/>
        <v>0</v>
      </c>
      <c r="G57" s="32">
        <f t="shared" si="22"/>
        <v>0</v>
      </c>
      <c r="H57" s="32">
        <f t="shared" si="22"/>
        <v>0</v>
      </c>
      <c r="I57" s="32">
        <f t="shared" si="22"/>
        <v>0</v>
      </c>
      <c r="J57" s="32">
        <f t="shared" si="22"/>
        <v>0</v>
      </c>
      <c r="K57" s="32">
        <f t="shared" si="22"/>
        <v>0</v>
      </c>
      <c r="L57" s="32">
        <f t="shared" si="22"/>
        <v>0</v>
      </c>
      <c r="M57" s="32">
        <f t="shared" si="22"/>
        <v>0</v>
      </c>
      <c r="N57" s="32">
        <f t="shared" si="22"/>
        <v>0</v>
      </c>
      <c r="O57" s="32">
        <f t="shared" si="22"/>
        <v>0</v>
      </c>
    </row>
    <row r="58" spans="2:15" x14ac:dyDescent="0.35">
      <c r="B58" s="3" t="s">
        <v>211</v>
      </c>
      <c r="C58" s="32">
        <f>ROUND(C46+C47-C50,2)</f>
        <v>0</v>
      </c>
      <c r="D58" s="32">
        <f t="shared" ref="D58:O58" si="23">ROUND(D46+D47-D50,2)</f>
        <v>0</v>
      </c>
      <c r="E58" s="32">
        <f t="shared" si="23"/>
        <v>0</v>
      </c>
      <c r="F58" s="32">
        <f t="shared" si="23"/>
        <v>0</v>
      </c>
      <c r="G58" s="32">
        <f t="shared" si="23"/>
        <v>0</v>
      </c>
      <c r="H58" s="32">
        <f t="shared" si="23"/>
        <v>0</v>
      </c>
      <c r="I58" s="32">
        <f t="shared" si="23"/>
        <v>0</v>
      </c>
      <c r="J58" s="32">
        <f t="shared" si="23"/>
        <v>0</v>
      </c>
      <c r="K58" s="32">
        <f t="shared" si="23"/>
        <v>0</v>
      </c>
      <c r="L58" s="32">
        <f t="shared" si="23"/>
        <v>0</v>
      </c>
      <c r="M58" s="32">
        <f t="shared" si="23"/>
        <v>0</v>
      </c>
      <c r="N58" s="32">
        <f t="shared" si="23"/>
        <v>0</v>
      </c>
      <c r="O58" s="32">
        <f t="shared" si="23"/>
        <v>0</v>
      </c>
    </row>
    <row r="59" spans="2:15" x14ac:dyDescent="0.35">
      <c r="B59" s="13" t="s">
        <v>113</v>
      </c>
      <c r="C59" s="45" t="str" cm="1">
        <f t="array" ref="C59">IF(SUMPRODUCT(ABS(C54:C58))=0,"OK","ERROR")</f>
        <v>OK</v>
      </c>
      <c r="D59" s="45" t="str" cm="1">
        <f t="array" ref="D59">IF(SUMPRODUCT(ABS(D54:D58))=0,"OK","ERROR")</f>
        <v>OK</v>
      </c>
      <c r="E59" s="45" t="str" cm="1">
        <f t="array" ref="E59">IF(SUMPRODUCT(ABS(E54:E58))=0,"OK","ERROR")</f>
        <v>OK</v>
      </c>
      <c r="F59" s="45" t="str" cm="1">
        <f t="array" ref="F59">IF(SUMPRODUCT(ABS(F54:F58))=0,"OK","ERROR")</f>
        <v>OK</v>
      </c>
      <c r="G59" s="45" t="str" cm="1">
        <f t="array" ref="G59">IF(SUMPRODUCT(ABS(G54:G58))=0,"OK","ERROR")</f>
        <v>OK</v>
      </c>
      <c r="H59" s="45" t="str" cm="1">
        <f t="array" ref="H59">IF(SUMPRODUCT(ABS(H54:H58))=0,"OK","ERROR")</f>
        <v>OK</v>
      </c>
      <c r="I59" s="45" t="str" cm="1">
        <f t="array" ref="I59">IF(SUMPRODUCT(ABS(I54:I58))=0,"OK","ERROR")</f>
        <v>OK</v>
      </c>
      <c r="J59" s="45" t="str" cm="1">
        <f t="array" ref="J59">IF(SUMPRODUCT(ABS(J54:J58))=0,"OK","ERROR")</f>
        <v>OK</v>
      </c>
      <c r="K59" s="45" t="str" cm="1">
        <f t="array" ref="K59">IF(SUMPRODUCT(ABS(K54:K58))=0,"OK","ERROR")</f>
        <v>OK</v>
      </c>
      <c r="L59" s="45" t="str" cm="1">
        <f t="array" ref="L59">IF(SUMPRODUCT(ABS(L54:L58))=0,"OK","ERROR")</f>
        <v>OK</v>
      </c>
      <c r="M59" s="45" t="str" cm="1">
        <f t="array" ref="M59">IF(SUMPRODUCT(ABS(M54:M58))=0,"OK","ERROR")</f>
        <v>OK</v>
      </c>
      <c r="N59" s="45" t="str" cm="1">
        <f t="array" ref="N59">IF(SUMPRODUCT(ABS(N54:N58))=0,"OK","ERROR")</f>
        <v>OK</v>
      </c>
      <c r="O59" s="45" t="str" cm="1">
        <f t="array" ref="O59">IF(SUMPRODUCT(ABS(O54:O58))=0,"OK","ERROR")</f>
        <v>OK</v>
      </c>
    </row>
    <row r="60" spans="2:15" x14ac:dyDescent="0.35">
      <c r="C60" s="56"/>
    </row>
    <row r="62" spans="2:15" x14ac:dyDescent="0.35">
      <c r="C62" s="35"/>
    </row>
  </sheetData>
  <conditionalFormatting sqref="C18">
    <cfRule type="cellIs" dxfId="25" priority="1" operator="lessThan">
      <formula>0</formula>
    </cfRule>
  </conditionalFormatting>
  <conditionalFormatting sqref="C13:O17">
    <cfRule type="cellIs" dxfId="24" priority="2" operator="lessThan">
      <formula>0</formula>
    </cfRule>
  </conditionalFormatting>
  <conditionalFormatting sqref="C26:O30">
    <cfRule type="cellIs" dxfId="23" priority="3" operator="lessThan">
      <formula>0</formula>
    </cfRule>
  </conditionalFormatting>
  <conditionalFormatting sqref="C39:O43">
    <cfRule type="cellIs" dxfId="22" priority="4" operator="lessThan">
      <formula>0</formula>
    </cfRule>
  </conditionalFormatting>
  <conditionalFormatting sqref="C46:O50">
    <cfRule type="cellIs" dxfId="21" priority="5" operator="lessThan">
      <formula>0</formula>
    </cfRule>
  </conditionalFormatting>
  <conditionalFormatting sqref="C54:O58">
    <cfRule type="cellIs" dxfId="20" priority="6" operator="notEqual">
      <formula>0</formula>
    </cfRule>
  </conditionalFormatting>
  <conditionalFormatting sqref="C59:O59">
    <cfRule type="containsText" dxfId="19" priority="7" operator="containsText" text="ERROR">
      <formula>NOT(ISERROR(SEARCH("ERROR",C59)))</formula>
    </cfRule>
    <cfRule type="containsText" dxfId="18" priority="8" operator="containsText" text="OK">
      <formula>NOT(ISERROR(SEARCH("OK",C59)))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CA14-FAD9-45D9-8844-A71C4D35CE80}">
  <dimension ref="B1:P69"/>
  <sheetViews>
    <sheetView showGridLines="0" topLeftCell="A7" zoomScale="91" workbookViewId="0">
      <pane xSplit="2" topLeftCell="C1" activePane="topRight" state="frozen"/>
      <selection pane="topRight" activeCell="B24" sqref="B24"/>
    </sheetView>
  </sheetViews>
  <sheetFormatPr defaultRowHeight="14.5" x14ac:dyDescent="0.35"/>
  <cols>
    <col min="1" max="1" width="2.1796875" customWidth="1"/>
    <col min="2" max="2" width="78.08984375" style="3" bestFit="1" customWidth="1"/>
    <col min="3" max="15" width="16" style="3" customWidth="1"/>
    <col min="16" max="16" width="8.7265625" style="3"/>
  </cols>
  <sheetData>
    <row r="1" spans="2:15" ht="18.5" x14ac:dyDescent="0.45">
      <c r="B1" s="28" t="s">
        <v>65</v>
      </c>
    </row>
    <row r="2" spans="2:15" x14ac:dyDescent="0.35">
      <c r="B2" s="26"/>
    </row>
    <row r="3" spans="2:15" x14ac:dyDescent="0.35">
      <c r="B3" s="13" t="s">
        <v>0</v>
      </c>
      <c r="C3" s="29">
        <f>DATE(2026,4,1)</f>
        <v>46113</v>
      </c>
      <c r="D3" s="29">
        <f>EDATE(C3,1)</f>
        <v>46143</v>
      </c>
      <c r="E3" s="29">
        <f t="shared" ref="E3:M3" si="0">EDATE(D3,1)</f>
        <v>46174</v>
      </c>
      <c r="F3" s="29">
        <f t="shared" si="0"/>
        <v>46204</v>
      </c>
      <c r="G3" s="29">
        <f t="shared" si="0"/>
        <v>46235</v>
      </c>
      <c r="H3" s="29">
        <f t="shared" si="0"/>
        <v>46266</v>
      </c>
      <c r="I3" s="29">
        <f t="shared" si="0"/>
        <v>46296</v>
      </c>
      <c r="J3" s="29">
        <f t="shared" si="0"/>
        <v>46327</v>
      </c>
      <c r="K3" s="29">
        <f t="shared" si="0"/>
        <v>46357</v>
      </c>
      <c r="L3" s="29">
        <f t="shared" si="0"/>
        <v>46388</v>
      </c>
      <c r="M3" s="29">
        <f t="shared" si="0"/>
        <v>46419</v>
      </c>
      <c r="N3" s="29">
        <f>EDATE(M3,1)</f>
        <v>46447</v>
      </c>
      <c r="O3" s="29" t="s">
        <v>55</v>
      </c>
    </row>
    <row r="4" spans="2:15" x14ac:dyDescent="0.35">
      <c r="B4" s="13" t="s">
        <v>1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140</v>
      </c>
      <c r="H4" s="30" t="s">
        <v>140</v>
      </c>
      <c r="I4" s="30" t="s">
        <v>141</v>
      </c>
      <c r="J4" s="30" t="s">
        <v>141</v>
      </c>
      <c r="K4" s="30" t="s">
        <v>141</v>
      </c>
      <c r="L4" s="30" t="s">
        <v>141</v>
      </c>
      <c r="M4" s="30" t="s">
        <v>141</v>
      </c>
      <c r="N4" s="30" t="s">
        <v>141</v>
      </c>
      <c r="O4" s="30"/>
    </row>
    <row r="6" spans="2:15" x14ac:dyDescent="0.35">
      <c r="B6" s="17" t="s">
        <v>125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15" x14ac:dyDescent="0.35">
      <c r="B7" s="3" t="s">
        <v>58</v>
      </c>
      <c r="C7" s="32">
        <f>'Actuals &amp; Forecast'!C26</f>
        <v>13282.8</v>
      </c>
      <c r="D7" s="32">
        <f>'Actuals &amp; Forecast'!D26</f>
        <v>13795.400000000001</v>
      </c>
      <c r="E7" s="32">
        <f>'Actuals &amp; Forecast'!E26</f>
        <v>14417.599999999999</v>
      </c>
      <c r="F7" s="32">
        <f>'Actuals &amp; Forecast'!F26</f>
        <v>14988.9</v>
      </c>
      <c r="G7" s="32">
        <f>'Actuals &amp; Forecast'!G26</f>
        <v>15977</v>
      </c>
      <c r="H7" s="32">
        <f>'Actuals &amp; Forecast'!H26</f>
        <v>15506.7</v>
      </c>
      <c r="I7" s="32">
        <f>'Actuals &amp; Forecast'!I26</f>
        <v>13992.55</v>
      </c>
      <c r="J7" s="32">
        <f>'Actuals &amp; Forecast'!J26</f>
        <v>13256.1</v>
      </c>
      <c r="K7" s="32">
        <f>'Actuals &amp; Forecast'!K26</f>
        <v>13992.55</v>
      </c>
      <c r="L7" s="32">
        <f>'Actuals &amp; Forecast'!L26</f>
        <v>15465.45</v>
      </c>
      <c r="M7" s="32">
        <f>'Actuals &amp; Forecast'!M26</f>
        <v>16201.900000000001</v>
      </c>
      <c r="N7" s="32">
        <f>'Actuals &amp; Forecast'!N26</f>
        <v>14729</v>
      </c>
      <c r="O7" s="32">
        <f>SUM(C7:N7)</f>
        <v>175605.95</v>
      </c>
    </row>
    <row r="8" spans="2:15" x14ac:dyDescent="0.35">
      <c r="B8" s="3" t="s">
        <v>56</v>
      </c>
      <c r="C8" s="32">
        <f>'Actuals &amp; Forecast'!C24</f>
        <v>13681</v>
      </c>
      <c r="D8" s="32">
        <f>'Actuals &amp; Forecast'!D24</f>
        <v>13933</v>
      </c>
      <c r="E8" s="32">
        <f>'Actuals &amp; Forecast'!E24</f>
        <v>15138</v>
      </c>
      <c r="F8" s="32">
        <f>'Actuals &amp; Forecast'!F24</f>
        <v>14839</v>
      </c>
      <c r="G8" s="32">
        <f>'Actuals &amp; Forecast'!G24</f>
        <v>16297</v>
      </c>
      <c r="H8" s="32">
        <f>'Actuals &amp; Forecast'!H24</f>
        <v>16127</v>
      </c>
      <c r="I8" s="32">
        <f>'Actuals &amp; Forecast'!I24</f>
        <v>14272.401</v>
      </c>
      <c r="J8" s="32">
        <f>'Actuals &amp; Forecast'!J24</f>
        <v>13521.222</v>
      </c>
      <c r="K8" s="32">
        <f>'Actuals &amp; Forecast'!K24</f>
        <v>14272.401</v>
      </c>
      <c r="L8" s="32">
        <f>'Actuals &amp; Forecast'!L24</f>
        <v>15774.759000000002</v>
      </c>
      <c r="M8" s="32">
        <f>'Actuals &amp; Forecast'!M24</f>
        <v>16525.938000000002</v>
      </c>
      <c r="N8" s="32">
        <f>'Actuals &amp; Forecast'!N24</f>
        <v>15023.58</v>
      </c>
      <c r="O8" s="32">
        <f>SUM(C8:N8)</f>
        <v>179405.30099999998</v>
      </c>
    </row>
    <row r="9" spans="2:15" x14ac:dyDescent="0.35">
      <c r="B9" s="3" t="s">
        <v>66</v>
      </c>
      <c r="C9" s="32">
        <f>'Rolling Budget'!C18</f>
        <v>12870</v>
      </c>
      <c r="D9" s="32">
        <f>'Rolling Budget'!D18</f>
        <v>13585</v>
      </c>
      <c r="E9" s="32">
        <f>'Rolling Budget'!E18</f>
        <v>14300</v>
      </c>
      <c r="F9" s="32">
        <f>'Rolling Budget'!F18</f>
        <v>15015</v>
      </c>
      <c r="G9" s="32">
        <f>'Rolling Budget'!G18</f>
        <v>15730</v>
      </c>
      <c r="H9" s="32">
        <f>'Rolling Budget'!H18</f>
        <v>15015</v>
      </c>
      <c r="I9" s="32">
        <f>'Rolling Budget'!I18</f>
        <v>13585</v>
      </c>
      <c r="J9" s="32">
        <f>'Rolling Budget'!J18</f>
        <v>12870</v>
      </c>
      <c r="K9" s="32">
        <f>'Rolling Budget'!K18</f>
        <v>13585</v>
      </c>
      <c r="L9" s="32">
        <f>'Rolling Budget'!L18</f>
        <v>15015</v>
      </c>
      <c r="M9" s="32">
        <f>'Rolling Budget'!M18</f>
        <v>15730</v>
      </c>
      <c r="N9" s="32">
        <f>'Rolling Budget'!N18</f>
        <v>14300</v>
      </c>
      <c r="O9" s="32">
        <f>SUM(C9:N9)</f>
        <v>171600</v>
      </c>
    </row>
    <row r="10" spans="2:15" x14ac:dyDescent="0.35">
      <c r="B10" s="3" t="s">
        <v>67</v>
      </c>
      <c r="C10" s="43">
        <f>Assumptions!$C$32</f>
        <v>120</v>
      </c>
      <c r="D10" s="43">
        <f>Assumptions!$C$32</f>
        <v>120</v>
      </c>
      <c r="E10" s="43">
        <f>Assumptions!$C$32</f>
        <v>120</v>
      </c>
      <c r="F10" s="43">
        <f>Assumptions!$C$32</f>
        <v>120</v>
      </c>
      <c r="G10" s="43">
        <f>Assumptions!$C$32</f>
        <v>120</v>
      </c>
      <c r="H10" s="43">
        <f>Assumptions!$C$32</f>
        <v>120</v>
      </c>
      <c r="I10" s="43">
        <f>Assumptions!$C$32</f>
        <v>120</v>
      </c>
      <c r="J10" s="43">
        <f>Assumptions!$C$32</f>
        <v>120</v>
      </c>
      <c r="K10" s="43">
        <f>Assumptions!$C$32</f>
        <v>120</v>
      </c>
      <c r="L10" s="43">
        <f>Assumptions!$C$32</f>
        <v>120</v>
      </c>
      <c r="M10" s="43">
        <f>Assumptions!$C$32</f>
        <v>120</v>
      </c>
      <c r="N10" s="43">
        <f>Assumptions!$C$32</f>
        <v>120</v>
      </c>
      <c r="O10" s="43">
        <f>Assumptions!$C$32</f>
        <v>120</v>
      </c>
    </row>
    <row r="11" spans="2:15" x14ac:dyDescent="0.35">
      <c r="B11" s="3" t="s">
        <v>68</v>
      </c>
      <c r="C11" s="43">
        <f>Assumptions!$C$31</f>
        <v>454.54545454545456</v>
      </c>
      <c r="D11" s="43">
        <f>Assumptions!$C$31</f>
        <v>454.54545454545456</v>
      </c>
      <c r="E11" s="43">
        <f>Assumptions!$C$31</f>
        <v>454.54545454545456</v>
      </c>
      <c r="F11" s="43">
        <f>Assumptions!$C$31</f>
        <v>454.54545454545456</v>
      </c>
      <c r="G11" s="43">
        <f>Assumptions!$C$31</f>
        <v>454.54545454545456</v>
      </c>
      <c r="H11" s="43">
        <f>Assumptions!$C$31</f>
        <v>454.54545454545456</v>
      </c>
      <c r="I11" s="43">
        <f>Assumptions!$C$31</f>
        <v>454.54545454545456</v>
      </c>
      <c r="J11" s="43">
        <f>Assumptions!$C$31</f>
        <v>454.54545454545456</v>
      </c>
      <c r="K11" s="43">
        <f>Assumptions!$C$31</f>
        <v>454.54545454545456</v>
      </c>
      <c r="L11" s="43">
        <f>Assumptions!$C$31</f>
        <v>454.54545454545456</v>
      </c>
      <c r="M11" s="43">
        <f>Assumptions!$C$31</f>
        <v>454.54545454545456</v>
      </c>
      <c r="N11" s="43">
        <f>Assumptions!$C$31</f>
        <v>454.54545454545456</v>
      </c>
      <c r="O11" s="43">
        <f>Assumptions!$C$31</f>
        <v>454.54545454545456</v>
      </c>
    </row>
    <row r="13" spans="2:15" x14ac:dyDescent="0.35">
      <c r="B13" s="17" t="s">
        <v>126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2:15" x14ac:dyDescent="0.35">
      <c r="B14" s="3" t="s">
        <v>222</v>
      </c>
      <c r="C14" s="35">
        <f>'Actuals &amp; Forecast'!C7*Assumptions!$C$7+'Actuals &amp; Forecast'!C8*Assumptions!$D$7+'Actuals &amp; Forecast'!C9*Assumptions!$E$7</f>
        <v>8528180</v>
      </c>
      <c r="D14" s="35">
        <f>'Actuals &amp; Forecast'!D7*Assumptions!$C$7+'Actuals &amp; Forecast'!D8*Assumptions!$D$7+'Actuals &amp; Forecast'!D9*Assumptions!$E$7</f>
        <v>8837540</v>
      </c>
      <c r="E14" s="35">
        <f>'Actuals &amp; Forecast'!E7*Assumptions!$C$7+'Actuals &amp; Forecast'!E8*Assumptions!$D$7+'Actuals &amp; Forecast'!E9*Assumptions!$E$7</f>
        <v>9226360</v>
      </c>
      <c r="F14" s="35">
        <f>'Actuals &amp; Forecast'!F7*Assumptions!$C$7+'Actuals &amp; Forecast'!F8*Assumptions!$D$7+'Actuals &amp; Forecast'!F9*Assumptions!$E$7</f>
        <v>9571640</v>
      </c>
      <c r="G14" s="35">
        <f>'Actuals &amp; Forecast'!G7*Assumptions!$C$7+'Actuals &amp; Forecast'!G8*Assumptions!$D$7+'Actuals &amp; Forecast'!G9*Assumptions!$E$7</f>
        <v>10216000</v>
      </c>
      <c r="H14" s="35">
        <f>'Actuals &amp; Forecast'!H7*Assumptions!$C$7+'Actuals &amp; Forecast'!H8*Assumptions!$D$7+'Actuals &amp; Forecast'!H9*Assumptions!$E$7</f>
        <v>9937720</v>
      </c>
      <c r="I14" s="35">
        <f>'Actuals &amp; Forecast'!I7*Assumptions!$C$7+'Actuals &amp; Forecast'!I8*Assumptions!$D$7+'Actuals &amp; Forecast'!I9*Assumptions!$E$7</f>
        <v>8958167.5</v>
      </c>
      <c r="J14" s="35">
        <f>'Actuals &amp; Forecast'!J7*Assumptions!$C$7+'Actuals &amp; Forecast'!J8*Assumptions!$D$7+'Actuals &amp; Forecast'!J9*Assumptions!$E$7</f>
        <v>8486685</v>
      </c>
      <c r="K14" s="35">
        <f>'Actuals &amp; Forecast'!K7*Assumptions!$C$7+'Actuals &amp; Forecast'!K8*Assumptions!$D$7+'Actuals &amp; Forecast'!K9*Assumptions!$E$7</f>
        <v>8958167.5</v>
      </c>
      <c r="L14" s="35">
        <f>'Actuals &amp; Forecast'!L7*Assumptions!$C$7+'Actuals &amp; Forecast'!L8*Assumptions!$D$7+'Actuals &amp; Forecast'!L9*Assumptions!$E$7</f>
        <v>9901132.5</v>
      </c>
      <c r="M14" s="35">
        <f>'Actuals &amp; Forecast'!M7*Assumptions!$C$7+'Actuals &amp; Forecast'!M8*Assumptions!$D$7+'Actuals &amp; Forecast'!M9*Assumptions!$E$7</f>
        <v>10372615</v>
      </c>
      <c r="N14" s="35">
        <f>'Actuals &amp; Forecast'!N7*Assumptions!$C$7+'Actuals &amp; Forecast'!N8*Assumptions!$D$7+'Actuals &amp; Forecast'!N9*Assumptions!$E$7</f>
        <v>9429650</v>
      </c>
      <c r="O14" s="35">
        <f>SUM(C14:N14)</f>
        <v>112423857.5</v>
      </c>
    </row>
    <row r="15" spans="2:15" x14ac:dyDescent="0.35">
      <c r="B15" s="3" t="s">
        <v>69</v>
      </c>
      <c r="C15" s="35">
        <f>'Actuals &amp; Forecast'!C43</f>
        <v>8699000</v>
      </c>
      <c r="D15" s="35">
        <f>'Actuals &amp; Forecast'!D43</f>
        <v>8838000</v>
      </c>
      <c r="E15" s="35">
        <f>'Actuals &amp; Forecast'!E43</f>
        <v>9595000</v>
      </c>
      <c r="F15" s="35">
        <f>'Actuals &amp; Forecast'!F43</f>
        <v>9667000</v>
      </c>
      <c r="G15" s="35">
        <f>'Actuals &amp; Forecast'!G43</f>
        <v>10114000</v>
      </c>
      <c r="H15" s="35">
        <f>'Actuals &amp; Forecast'!H43</f>
        <v>10236000</v>
      </c>
      <c r="I15" s="35">
        <f>'Actuals &amp; Forecast'!I43</f>
        <v>9456241.6129999999</v>
      </c>
      <c r="J15" s="35">
        <f>'Actuals &amp; Forecast'!J43</f>
        <v>8958544.6859999988</v>
      </c>
      <c r="K15" s="35">
        <f>'Actuals &amp; Forecast'!K43</f>
        <v>9456241.6129999999</v>
      </c>
      <c r="L15" s="35">
        <f>'Actuals &amp; Forecast'!L43</f>
        <v>10451635.467</v>
      </c>
      <c r="M15" s="35">
        <f>'Actuals &amp; Forecast'!M43</f>
        <v>10949332.393999999</v>
      </c>
      <c r="N15" s="35">
        <f>'Actuals &amp; Forecast'!N43</f>
        <v>9953938.5399999991</v>
      </c>
      <c r="O15" s="35">
        <f>SUM(C15:N15)</f>
        <v>116374934.31299999</v>
      </c>
    </row>
    <row r="16" spans="2:15" x14ac:dyDescent="0.35">
      <c r="B16" s="33" t="s">
        <v>194</v>
      </c>
      <c r="C16" s="36">
        <f>C14-C15</f>
        <v>-170820</v>
      </c>
      <c r="D16" s="36">
        <f t="shared" ref="D16:N16" si="1">D14-D15</f>
        <v>-460</v>
      </c>
      <c r="E16" s="36">
        <f t="shared" si="1"/>
        <v>-368640</v>
      </c>
      <c r="F16" s="36">
        <f t="shared" si="1"/>
        <v>-95360</v>
      </c>
      <c r="G16" s="36">
        <f t="shared" si="1"/>
        <v>102000</v>
      </c>
      <c r="H16" s="36">
        <f t="shared" si="1"/>
        <v>-298280</v>
      </c>
      <c r="I16" s="36">
        <f t="shared" si="1"/>
        <v>-498074.1129999999</v>
      </c>
      <c r="J16" s="36">
        <f t="shared" si="1"/>
        <v>-471859.68599999882</v>
      </c>
      <c r="K16" s="36">
        <f t="shared" si="1"/>
        <v>-498074.1129999999</v>
      </c>
      <c r="L16" s="36">
        <f t="shared" si="1"/>
        <v>-550502.96700000018</v>
      </c>
      <c r="M16" s="36">
        <f t="shared" si="1"/>
        <v>-576717.39399999939</v>
      </c>
      <c r="N16" s="36">
        <f t="shared" si="1"/>
        <v>-524288.53999999911</v>
      </c>
      <c r="O16" s="36">
        <f>SUM(C16:N16)</f>
        <v>-3951076.8129999973</v>
      </c>
    </row>
    <row r="18" spans="2:15" x14ac:dyDescent="0.35">
      <c r="B18" s="17" t="s">
        <v>127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2:15" x14ac:dyDescent="0.35">
      <c r="B19" s="3" t="s">
        <v>70</v>
      </c>
      <c r="C19" s="35">
        <f>'Actuals &amp; Forecast'!C7*Assumptions!$C$10+'Actuals &amp; Forecast'!C8*Assumptions!$D$10+'Actuals &amp; Forecast'!C9*Assumptions!$E$10</f>
        <v>3714696</v>
      </c>
      <c r="D19" s="35">
        <f>'Actuals &amp; Forecast'!D7*Assumptions!$C$10+'Actuals &amp; Forecast'!D8*Assumptions!$D$10+'Actuals &amp; Forecast'!D9*Assumptions!$E$10</f>
        <v>3859396</v>
      </c>
      <c r="E19" s="35">
        <f>'Actuals &amp; Forecast'!E7*Assumptions!$C$10+'Actuals &amp; Forecast'!E8*Assumptions!$D$10+'Actuals &amp; Forecast'!E9*Assumptions!$E$10</f>
        <v>4018240</v>
      </c>
      <c r="F19" s="35">
        <f>'Actuals &amp; Forecast'!F7*Assumptions!$C$10+'Actuals &amp; Forecast'!F8*Assumptions!$D$10+'Actuals &amp; Forecast'!F9*Assumptions!$E$10</f>
        <v>4178730</v>
      </c>
      <c r="G19" s="35">
        <f>'Actuals &amp; Forecast'!G7*Assumptions!$C$10+'Actuals &amp; Forecast'!G8*Assumptions!$D$10+'Actuals &amp; Forecast'!G9*Assumptions!$E$10</f>
        <v>4470052</v>
      </c>
      <c r="H19" s="35">
        <f>'Actuals &amp; Forecast'!H7*Assumptions!$C$10+'Actuals &amp; Forecast'!H8*Assumptions!$D$10+'Actuals &amp; Forecast'!H9*Assumptions!$E$10</f>
        <v>4333902</v>
      </c>
      <c r="I19" s="35">
        <f>'Actuals &amp; Forecast'!I7*Assumptions!$C$10+'Actuals &amp; Forecast'!I8*Assumptions!$D$10+'Actuals &amp; Forecast'!I9*Assumptions!$E$10</f>
        <v>3908129</v>
      </c>
      <c r="J19" s="35">
        <f>'Actuals &amp; Forecast'!J7*Assumptions!$C$10+'Actuals &amp; Forecast'!J8*Assumptions!$D$10+'Actuals &amp; Forecast'!J9*Assumptions!$E$10</f>
        <v>3702438</v>
      </c>
      <c r="K19" s="35">
        <f>'Actuals &amp; Forecast'!K7*Assumptions!$C$10+'Actuals &amp; Forecast'!K8*Assumptions!$D$10+'Actuals &amp; Forecast'!K9*Assumptions!$E$10</f>
        <v>3908129</v>
      </c>
      <c r="L19" s="35">
        <f>'Actuals &amp; Forecast'!L7*Assumptions!$C$10+'Actuals &amp; Forecast'!L8*Assumptions!$D$10+'Actuals &amp; Forecast'!L9*Assumptions!$E$10</f>
        <v>4319511</v>
      </c>
      <c r="M19" s="35">
        <f>'Actuals &amp; Forecast'!M7*Assumptions!$C$10+'Actuals &amp; Forecast'!M8*Assumptions!$D$10+'Actuals &amp; Forecast'!M9*Assumptions!$E$10</f>
        <v>4525202</v>
      </c>
      <c r="N19" s="35">
        <f>'Actuals &amp; Forecast'!N7*Assumptions!$C$10+'Actuals &amp; Forecast'!N8*Assumptions!$D$10+'Actuals &amp; Forecast'!N9*Assumptions!$E$10</f>
        <v>4113820</v>
      </c>
      <c r="O19" s="35">
        <f>SUM(C19:N19)</f>
        <v>49052245</v>
      </c>
    </row>
    <row r="20" spans="2:15" x14ac:dyDescent="0.35">
      <c r="B20" s="3" t="s">
        <v>71</v>
      </c>
      <c r="C20" s="35">
        <f>'Actuals &amp; Forecast'!C44</f>
        <v>3666508</v>
      </c>
      <c r="D20" s="35">
        <f>'Actuals &amp; Forecast'!D44</f>
        <v>3817642</v>
      </c>
      <c r="E20" s="35">
        <f>'Actuals &amp; Forecast'!E44</f>
        <v>4102398</v>
      </c>
      <c r="F20" s="35">
        <f>'Actuals &amp; Forecast'!F44</f>
        <v>4140081</v>
      </c>
      <c r="G20" s="35">
        <f>'Actuals &amp; Forecast'!G44</f>
        <v>4497972</v>
      </c>
      <c r="H20" s="35">
        <f>'Actuals &amp; Forecast'!H44</f>
        <v>4402671</v>
      </c>
      <c r="I20" s="35">
        <f>'Actuals &amp; Forecast'!I44</f>
        <v>4185606.1590000005</v>
      </c>
      <c r="J20" s="35">
        <f>'Actuals &amp; Forecast'!J44</f>
        <v>3965311.0980000002</v>
      </c>
      <c r="K20" s="35">
        <f>'Actuals &amp; Forecast'!K44</f>
        <v>4185606.1590000005</v>
      </c>
      <c r="L20" s="35">
        <f>'Actuals &amp; Forecast'!L44</f>
        <v>4626196.2810000014</v>
      </c>
      <c r="M20" s="35">
        <f>'Actuals &amp; Forecast'!M44</f>
        <v>4846491.3420000002</v>
      </c>
      <c r="N20" s="35">
        <f>'Actuals &amp; Forecast'!N44</f>
        <v>4405901.2200000007</v>
      </c>
      <c r="O20" s="35">
        <f>SUM(C20:N20)</f>
        <v>50842384.259000003</v>
      </c>
    </row>
    <row r="21" spans="2:15" x14ac:dyDescent="0.35">
      <c r="B21" s="3" t="s">
        <v>72</v>
      </c>
      <c r="C21" s="43">
        <f>IFERROR(C19/C7,0)</f>
        <v>279.66211943264977</v>
      </c>
      <c r="D21" s="43">
        <f t="shared" ref="D21:N21" si="2">IFERROR(D19/D7,0)</f>
        <v>279.75963002160137</v>
      </c>
      <c r="E21" s="43">
        <f t="shared" si="2"/>
        <v>278.70380645877265</v>
      </c>
      <c r="F21" s="43">
        <f t="shared" si="2"/>
        <v>278.78830334447491</v>
      </c>
      <c r="G21" s="43">
        <f t="shared" si="2"/>
        <v>279.78043437441323</v>
      </c>
      <c r="H21" s="43">
        <f t="shared" si="2"/>
        <v>279.48577066687301</v>
      </c>
      <c r="I21" s="43">
        <f t="shared" si="2"/>
        <v>279.30069930069931</v>
      </c>
      <c r="J21" s="43">
        <f t="shared" si="2"/>
        <v>279.30069930069931</v>
      </c>
      <c r="K21" s="43">
        <f t="shared" si="2"/>
        <v>279.30069930069931</v>
      </c>
      <c r="L21" s="43">
        <f t="shared" si="2"/>
        <v>279.30069930069931</v>
      </c>
      <c r="M21" s="43">
        <f t="shared" si="2"/>
        <v>279.30069930069925</v>
      </c>
      <c r="N21" s="43">
        <f t="shared" si="2"/>
        <v>279.30069930069931</v>
      </c>
      <c r="O21" s="43">
        <f>IFERROR(O19/O7,0)</f>
        <v>279.33133814657191</v>
      </c>
    </row>
    <row r="22" spans="2:15" x14ac:dyDescent="0.35">
      <c r="B22" s="3" t="s">
        <v>195</v>
      </c>
      <c r="C22" s="35">
        <f>(C21-'Actuals &amp; Forecast'!C25)*C8</f>
        <v>159549.45595808155</v>
      </c>
      <c r="D22" s="35">
        <f>(D21-'Actuals &amp; Forecast'!D25)*D8</f>
        <v>80248.925090971854</v>
      </c>
      <c r="E22" s="35">
        <f>(E21-'Actuals &amp; Forecast'!E25)*E8</f>
        <v>116620.22217290032</v>
      </c>
      <c r="F22" s="35">
        <f>(F21-'Actuals &amp; Forecast'!F25)*F8</f>
        <v>-3141.3666713367857</v>
      </c>
      <c r="G22" s="35">
        <f>(G21-'Actuals &amp; Forecast'!G25)*G8</f>
        <v>61609.738999812449</v>
      </c>
      <c r="H22" s="35">
        <f>(H21-'Actuals &amp; Forecast'!H25)*H8</f>
        <v>104596.02354466102</v>
      </c>
      <c r="I22" s="35">
        <f>(I21-'Actuals &amp; Forecast'!I25)*I8</f>
        <v>-199314.57900000032</v>
      </c>
      <c r="J22" s="35">
        <f>(J21-'Actuals &amp; Forecast'!J25)*J8</f>
        <v>-188824.33800000031</v>
      </c>
      <c r="K22" s="35">
        <f>(K21-'Actuals &amp; Forecast'!K25)*K8</f>
        <v>-199314.57900000032</v>
      </c>
      <c r="L22" s="35">
        <f>(L21-'Actuals &amp; Forecast'!L25)*L8</f>
        <v>-220295.06100000039</v>
      </c>
      <c r="M22" s="35">
        <f>(M21-'Actuals &amp; Forecast'!M25)*M8</f>
        <v>-230785.3020000004</v>
      </c>
      <c r="N22" s="35">
        <f>(N21-'Actuals &amp; Forecast'!N25)*N8</f>
        <v>-209804.82000000036</v>
      </c>
      <c r="O22" s="35">
        <f>SUM(C22:N22)</f>
        <v>-728855.67990491167</v>
      </c>
    </row>
    <row r="23" spans="2:15" x14ac:dyDescent="0.35">
      <c r="B23" s="3" t="s">
        <v>196</v>
      </c>
      <c r="C23" s="35">
        <f>(C7-C8)*C21</f>
        <v>-111361.45595808134</v>
      </c>
      <c r="D23" s="35">
        <f t="shared" ref="D23:N23" si="3">(D7-D8)*D21</f>
        <v>-38494.925090971941</v>
      </c>
      <c r="E23" s="35">
        <f t="shared" si="3"/>
        <v>-200778.22217290022</v>
      </c>
      <c r="F23" s="35">
        <f t="shared" si="3"/>
        <v>41790.366671336691</v>
      </c>
      <c r="G23" s="35">
        <f t="shared" si="3"/>
        <v>-89529.738999812238</v>
      </c>
      <c r="H23" s="35">
        <f t="shared" si="3"/>
        <v>-173365.02354466112</v>
      </c>
      <c r="I23" s="35">
        <f t="shared" si="3"/>
        <v>-78162.580000000162</v>
      </c>
      <c r="J23" s="35">
        <f t="shared" si="3"/>
        <v>-74048.759999999835</v>
      </c>
      <c r="K23" s="35">
        <f t="shared" si="3"/>
        <v>-78162.580000000162</v>
      </c>
      <c r="L23" s="35">
        <f t="shared" si="3"/>
        <v>-86390.220000000307</v>
      </c>
      <c r="M23" s="35">
        <f t="shared" si="3"/>
        <v>-90504.04000000011</v>
      </c>
      <c r="N23" s="35">
        <f t="shared" si="3"/>
        <v>-82276.39999999998</v>
      </c>
      <c r="O23" s="35">
        <f>SUM(C23:N23)</f>
        <v>-1061283.579095091</v>
      </c>
    </row>
    <row r="24" spans="2:15" x14ac:dyDescent="0.35">
      <c r="B24" s="33" t="s">
        <v>197</v>
      </c>
      <c r="C24" s="36">
        <f>C22+C23</f>
        <v>48188.000000000218</v>
      </c>
      <c r="D24" s="36">
        <f t="shared" ref="D24:N24" si="4">D22+D23</f>
        <v>41753.999999999913</v>
      </c>
      <c r="E24" s="36">
        <f t="shared" si="4"/>
        <v>-84157.999999999898</v>
      </c>
      <c r="F24" s="36">
        <f t="shared" si="4"/>
        <v>38648.999999999905</v>
      </c>
      <c r="G24" s="36">
        <f t="shared" si="4"/>
        <v>-27919.999999999789</v>
      </c>
      <c r="H24" s="36">
        <f t="shared" si="4"/>
        <v>-68769.000000000102</v>
      </c>
      <c r="I24" s="36">
        <f t="shared" si="4"/>
        <v>-277477.15900000045</v>
      </c>
      <c r="J24" s="36">
        <f t="shared" si="4"/>
        <v>-262873.09800000011</v>
      </c>
      <c r="K24" s="36">
        <f t="shared" si="4"/>
        <v>-277477.15900000045</v>
      </c>
      <c r="L24" s="36">
        <f t="shared" si="4"/>
        <v>-306685.28100000072</v>
      </c>
      <c r="M24" s="36">
        <f t="shared" si="4"/>
        <v>-321289.34200000053</v>
      </c>
      <c r="N24" s="36">
        <f t="shared" si="4"/>
        <v>-292081.22000000032</v>
      </c>
      <c r="O24" s="36">
        <f>SUM(C24:N24)</f>
        <v>-1790139.2590000024</v>
      </c>
    </row>
    <row r="25" spans="2:15" x14ac:dyDescent="0.35">
      <c r="B25" s="26" t="s">
        <v>73</v>
      </c>
      <c r="C25" s="46">
        <f>ROUND(C24-(C19-C20),2)</f>
        <v>0</v>
      </c>
      <c r="D25" s="46">
        <f t="shared" ref="D25:N25" si="5">ROUND(D24-(D19-D20),2)</f>
        <v>0</v>
      </c>
      <c r="E25" s="46">
        <f t="shared" si="5"/>
        <v>0</v>
      </c>
      <c r="F25" s="46">
        <f t="shared" si="5"/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46">
        <f t="shared" si="5"/>
        <v>0</v>
      </c>
      <c r="L25" s="46">
        <f t="shared" si="5"/>
        <v>0</v>
      </c>
      <c r="M25" s="46">
        <f t="shared" si="5"/>
        <v>0</v>
      </c>
      <c r="N25" s="46">
        <f t="shared" si="5"/>
        <v>0</v>
      </c>
      <c r="O25" s="46">
        <f>SUM(C25:N25)</f>
        <v>0</v>
      </c>
    </row>
    <row r="26" spans="2:15" x14ac:dyDescent="0.35">
      <c r="C26" s="35"/>
    </row>
    <row r="27" spans="2:15" x14ac:dyDescent="0.35">
      <c r="B27" s="17" t="s">
        <v>128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2:15" x14ac:dyDescent="0.35">
      <c r="B28" s="3" t="s">
        <v>175</v>
      </c>
      <c r="C28" s="35">
        <f>C7*C10</f>
        <v>1593936</v>
      </c>
      <c r="D28" s="35">
        <f t="shared" ref="D28:N28" si="6">D7*D10</f>
        <v>1655448.0000000002</v>
      </c>
      <c r="E28" s="35">
        <f t="shared" si="6"/>
        <v>1730111.9999999998</v>
      </c>
      <c r="F28" s="35">
        <f t="shared" si="6"/>
        <v>1798668</v>
      </c>
      <c r="G28" s="35">
        <f t="shared" si="6"/>
        <v>1917240</v>
      </c>
      <c r="H28" s="35">
        <f t="shared" si="6"/>
        <v>1860804</v>
      </c>
      <c r="I28" s="35">
        <f t="shared" si="6"/>
        <v>1679106</v>
      </c>
      <c r="J28" s="35">
        <f t="shared" si="6"/>
        <v>1590732</v>
      </c>
      <c r="K28" s="35">
        <f t="shared" si="6"/>
        <v>1679106</v>
      </c>
      <c r="L28" s="35">
        <f t="shared" si="6"/>
        <v>1855854</v>
      </c>
      <c r="M28" s="35">
        <f t="shared" si="6"/>
        <v>1944228.0000000002</v>
      </c>
      <c r="N28" s="35">
        <f t="shared" si="6"/>
        <v>1767480</v>
      </c>
      <c r="O28" s="35">
        <f t="shared" ref="O28:O33" si="7">SUM(C28:N28)</f>
        <v>21072714</v>
      </c>
    </row>
    <row r="29" spans="2:15" x14ac:dyDescent="0.35">
      <c r="B29" s="3" t="s">
        <v>174</v>
      </c>
      <c r="C29" s="35">
        <f>C8*C10</f>
        <v>1641720</v>
      </c>
      <c r="D29" s="35">
        <f t="shared" ref="D29:N29" si="8">D8*D10</f>
        <v>1671960</v>
      </c>
      <c r="E29" s="35">
        <f t="shared" si="8"/>
        <v>1816560</v>
      </c>
      <c r="F29" s="35">
        <f t="shared" si="8"/>
        <v>1780680</v>
      </c>
      <c r="G29" s="35">
        <f t="shared" si="8"/>
        <v>1955640</v>
      </c>
      <c r="H29" s="35">
        <f t="shared" si="8"/>
        <v>1935240</v>
      </c>
      <c r="I29" s="35">
        <f t="shared" si="8"/>
        <v>1712688.1199999999</v>
      </c>
      <c r="J29" s="35">
        <f t="shared" si="8"/>
        <v>1622546.64</v>
      </c>
      <c r="K29" s="35">
        <f t="shared" si="8"/>
        <v>1712688.1199999999</v>
      </c>
      <c r="L29" s="35">
        <f t="shared" si="8"/>
        <v>1892971.0800000003</v>
      </c>
      <c r="M29" s="35">
        <f t="shared" si="8"/>
        <v>1983112.5600000003</v>
      </c>
      <c r="N29" s="35">
        <f t="shared" si="8"/>
        <v>1802829.6</v>
      </c>
      <c r="O29" s="35">
        <f t="shared" si="7"/>
        <v>21528636.120000001</v>
      </c>
    </row>
    <row r="30" spans="2:15" x14ac:dyDescent="0.35">
      <c r="B30" s="3" t="s">
        <v>74</v>
      </c>
      <c r="C30" s="35">
        <f>'Actuals &amp; Forecast'!C33</f>
        <v>1667000</v>
      </c>
      <c r="D30" s="35">
        <f>'Actuals &amp; Forecast'!D33</f>
        <v>1693000</v>
      </c>
      <c r="E30" s="35">
        <f>'Actuals &amp; Forecast'!E33</f>
        <v>1859000</v>
      </c>
      <c r="F30" s="35">
        <f>'Actuals &amp; Forecast'!F33</f>
        <v>1791000</v>
      </c>
      <c r="G30" s="35">
        <f>'Actuals &amp; Forecast'!G33</f>
        <v>1984000</v>
      </c>
      <c r="H30" s="35">
        <f>'Actuals &amp; Forecast'!H33</f>
        <v>1996000</v>
      </c>
      <c r="I30" s="35">
        <f>'Actuals &amp; Forecast'!I33</f>
        <v>1764068.7635999997</v>
      </c>
      <c r="J30" s="35">
        <f>'Actuals &amp; Forecast'!J33</f>
        <v>1671223.0392</v>
      </c>
      <c r="K30" s="35">
        <f>'Actuals &amp; Forecast'!K33</f>
        <v>1764068.7635999997</v>
      </c>
      <c r="L30" s="35">
        <f>'Actuals &amp; Forecast'!L33</f>
        <v>1949760.2124000003</v>
      </c>
      <c r="M30" s="35">
        <f>'Actuals &amp; Forecast'!M33</f>
        <v>2042605.9368000003</v>
      </c>
      <c r="N30" s="35">
        <f>'Actuals &amp; Forecast'!N33</f>
        <v>1856914.4880000001</v>
      </c>
      <c r="O30" s="35">
        <f t="shared" si="7"/>
        <v>22038641.203600001</v>
      </c>
    </row>
    <row r="31" spans="2:15" x14ac:dyDescent="0.35">
      <c r="B31" s="3" t="s">
        <v>198</v>
      </c>
      <c r="C31" s="35">
        <f>C29-C30</f>
        <v>-25280</v>
      </c>
      <c r="D31" s="35">
        <f t="shared" ref="D31:N31" si="9">D29-D30</f>
        <v>-21040</v>
      </c>
      <c r="E31" s="35">
        <f t="shared" si="9"/>
        <v>-42440</v>
      </c>
      <c r="F31" s="35">
        <f t="shared" si="9"/>
        <v>-10320</v>
      </c>
      <c r="G31" s="35">
        <f t="shared" si="9"/>
        <v>-28360</v>
      </c>
      <c r="H31" s="35">
        <f t="shared" si="9"/>
        <v>-60760</v>
      </c>
      <c r="I31" s="35">
        <f t="shared" si="9"/>
        <v>-51380.643599999836</v>
      </c>
      <c r="J31" s="35">
        <f t="shared" si="9"/>
        <v>-48676.399200000102</v>
      </c>
      <c r="K31" s="35">
        <f t="shared" si="9"/>
        <v>-51380.643599999836</v>
      </c>
      <c r="L31" s="35">
        <f t="shared" si="9"/>
        <v>-56789.132400000002</v>
      </c>
      <c r="M31" s="35">
        <f t="shared" si="9"/>
        <v>-59493.376799999969</v>
      </c>
      <c r="N31" s="35">
        <f t="shared" si="9"/>
        <v>-54084.888000000035</v>
      </c>
      <c r="O31" s="35">
        <f t="shared" si="7"/>
        <v>-510005.08359999978</v>
      </c>
    </row>
    <row r="32" spans="2:15" x14ac:dyDescent="0.35">
      <c r="B32" s="3" t="s">
        <v>199</v>
      </c>
      <c r="C32" s="35">
        <f>(C7-C8)*C10</f>
        <v>-47784.000000000087</v>
      </c>
      <c r="D32" s="35">
        <f t="shared" ref="D32:N32" si="10">(D7-D8)*D10</f>
        <v>-16511.999999999825</v>
      </c>
      <c r="E32" s="35">
        <f t="shared" si="10"/>
        <v>-86448.000000000175</v>
      </c>
      <c r="F32" s="35">
        <f t="shared" si="10"/>
        <v>17987.999999999956</v>
      </c>
      <c r="G32" s="35">
        <f t="shared" si="10"/>
        <v>-38400</v>
      </c>
      <c r="H32" s="35">
        <f t="shared" si="10"/>
        <v>-74435.999999999913</v>
      </c>
      <c r="I32" s="35">
        <f t="shared" si="10"/>
        <v>-33582.120000000068</v>
      </c>
      <c r="J32" s="35">
        <f t="shared" si="10"/>
        <v>-31814.639999999927</v>
      </c>
      <c r="K32" s="35">
        <f t="shared" si="10"/>
        <v>-33582.120000000068</v>
      </c>
      <c r="L32" s="35">
        <f t="shared" si="10"/>
        <v>-37117.080000000133</v>
      </c>
      <c r="M32" s="35">
        <f t="shared" si="10"/>
        <v>-38884.560000000056</v>
      </c>
      <c r="N32" s="35">
        <f t="shared" si="10"/>
        <v>-35349.599999999991</v>
      </c>
      <c r="O32" s="35">
        <f t="shared" si="7"/>
        <v>-455922.12000000023</v>
      </c>
    </row>
    <row r="33" spans="2:15" x14ac:dyDescent="0.35">
      <c r="B33" s="33" t="s">
        <v>200</v>
      </c>
      <c r="C33" s="36">
        <f>C31+C32</f>
        <v>-73064.000000000087</v>
      </c>
      <c r="D33" s="36">
        <f t="shared" ref="D33:N33" si="11">D31+D32</f>
        <v>-37551.999999999825</v>
      </c>
      <c r="E33" s="36">
        <f t="shared" si="11"/>
        <v>-128888.00000000017</v>
      </c>
      <c r="F33" s="36">
        <f t="shared" si="11"/>
        <v>7667.9999999999563</v>
      </c>
      <c r="G33" s="36">
        <f t="shared" si="11"/>
        <v>-66760</v>
      </c>
      <c r="H33" s="36">
        <f t="shared" si="11"/>
        <v>-135195.99999999991</v>
      </c>
      <c r="I33" s="36">
        <f t="shared" si="11"/>
        <v>-84962.763599999904</v>
      </c>
      <c r="J33" s="36">
        <f t="shared" si="11"/>
        <v>-80491.039200000028</v>
      </c>
      <c r="K33" s="36">
        <f t="shared" si="11"/>
        <v>-84962.763599999904</v>
      </c>
      <c r="L33" s="36">
        <f t="shared" si="11"/>
        <v>-93906.212400000135</v>
      </c>
      <c r="M33" s="36">
        <f t="shared" si="11"/>
        <v>-98377.936800000025</v>
      </c>
      <c r="N33" s="36">
        <f t="shared" si="11"/>
        <v>-89434.488000000027</v>
      </c>
      <c r="O33" s="36">
        <f t="shared" si="7"/>
        <v>-965927.20360000001</v>
      </c>
    </row>
    <row r="34" spans="2:15" x14ac:dyDescent="0.35">
      <c r="B34" s="47" t="s">
        <v>75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2:15" x14ac:dyDescent="0.35">
      <c r="B35" s="3" t="s">
        <v>212</v>
      </c>
      <c r="C35" s="35">
        <f>C$8*Assumptions!$D$24-'Actuals &amp; Forecast'!C29</f>
        <v>-24140</v>
      </c>
      <c r="D35" s="35">
        <f>D$8*Assumptions!$D$24-'Actuals &amp; Forecast'!D29</f>
        <v>-8020</v>
      </c>
      <c r="E35" s="35">
        <f>E$8*Assumptions!$D$24-'Actuals &amp; Forecast'!E29</f>
        <v>-36720</v>
      </c>
      <c r="F35" s="35">
        <f>F$8*Assumptions!$D$24-'Actuals &amp; Forecast'!F29</f>
        <v>9340</v>
      </c>
      <c r="G35" s="35">
        <f>G$8*Assumptions!$D$24-'Actuals &amp; Forecast'!G29</f>
        <v>-19180</v>
      </c>
      <c r="H35" s="35">
        <f>H$8*Assumptions!$D$24-'Actuals &amp; Forecast'!H29</f>
        <v>-48380</v>
      </c>
      <c r="I35" s="35">
        <f>I$8*Assumptions!$D$24-'Actuals &amp; Forecast'!I29</f>
        <v>-25690.321800000034</v>
      </c>
      <c r="J35" s="35">
        <f>J$8*Assumptions!$D$24-'Actuals &amp; Forecast'!J29</f>
        <v>-24338.199600000051</v>
      </c>
      <c r="K35" s="35">
        <f>K$8*Assumptions!$D$24-'Actuals &amp; Forecast'!K29</f>
        <v>-25690.321800000034</v>
      </c>
      <c r="L35" s="35">
        <f>L$8*Assumptions!$D$24-'Actuals &amp; Forecast'!L29</f>
        <v>-28394.566200000001</v>
      </c>
      <c r="M35" s="35">
        <f>M$8*Assumptions!$D$24-'Actuals &amp; Forecast'!M29</f>
        <v>-29746.688399999985</v>
      </c>
      <c r="N35" s="35">
        <f>N$8*Assumptions!$D$24-'Actuals &amp; Forecast'!N29</f>
        <v>-27042.444000000018</v>
      </c>
      <c r="O35" s="35">
        <f>SUM(C35:N35)</f>
        <v>-288002.54180000012</v>
      </c>
    </row>
    <row r="36" spans="2:15" x14ac:dyDescent="0.35">
      <c r="B36" s="3" t="s">
        <v>213</v>
      </c>
      <c r="C36" s="35">
        <f>C$8*Assumptions!$D$25-'Actuals &amp; Forecast'!C30</f>
        <v>9835</v>
      </c>
      <c r="D36" s="35">
        <f>D$8*Assumptions!$D$25-'Actuals &amp; Forecast'!D30</f>
        <v>-9345</v>
      </c>
      <c r="E36" s="35">
        <f>E$8*Assumptions!$D$25-'Actuals &amp; Forecast'!E30</f>
        <v>-5170</v>
      </c>
      <c r="F36" s="35">
        <f>F$8*Assumptions!$D$25-'Actuals &amp; Forecast'!F30</f>
        <v>-15635</v>
      </c>
      <c r="G36" s="35">
        <f>G$8*Assumptions!$D$25-'Actuals &amp; Forecast'!G30</f>
        <v>5395</v>
      </c>
      <c r="H36" s="35">
        <f>H$8*Assumptions!$D$25-'Actuals &amp; Forecast'!H30</f>
        <v>-11555</v>
      </c>
      <c r="I36" s="35">
        <f>I$8*Assumptions!$D$25-'Actuals &amp; Forecast'!I30</f>
        <v>-14986.021050000039</v>
      </c>
      <c r="J36" s="35">
        <f>J$8*Assumptions!$D$25-'Actuals &amp; Forecast'!J30</f>
        <v>-14197.283100000001</v>
      </c>
      <c r="K36" s="35">
        <f>K$8*Assumptions!$D$25-'Actuals &amp; Forecast'!K30</f>
        <v>-14986.021050000039</v>
      </c>
      <c r="L36" s="35">
        <f>L$8*Assumptions!$D$25-'Actuals &amp; Forecast'!L30</f>
        <v>-16563.496950000059</v>
      </c>
      <c r="M36" s="35">
        <f>M$8*Assumptions!$D$25-'Actuals &amp; Forecast'!M30</f>
        <v>-17352.234900000039</v>
      </c>
      <c r="N36" s="35">
        <f>N$8*Assumptions!$D$25-'Actuals &amp; Forecast'!N30</f>
        <v>-15774.758999999962</v>
      </c>
      <c r="O36" s="35">
        <f>SUM(C36:N36)</f>
        <v>-120334.81605000014</v>
      </c>
    </row>
    <row r="37" spans="2:15" x14ac:dyDescent="0.35">
      <c r="B37" s="3" t="s">
        <v>214</v>
      </c>
      <c r="C37" s="35">
        <f>C$8*Assumptions!$D$26-'Actuals &amp; Forecast'!C31</f>
        <v>-9785</v>
      </c>
      <c r="D37" s="35">
        <f>D$8*Assumptions!$D$26-'Actuals &amp; Forecast'!D31</f>
        <v>-6005</v>
      </c>
      <c r="E37" s="35">
        <f>E$8*Assumptions!$D$26-'Actuals &amp; Forecast'!E31</f>
        <v>2070</v>
      </c>
      <c r="F37" s="35">
        <f>F$8*Assumptions!$D$26-'Actuals &amp; Forecast'!F31</f>
        <v>-4415</v>
      </c>
      <c r="G37" s="35">
        <f>G$8*Assumptions!$D$26-'Actuals &amp; Forecast'!G31</f>
        <v>-9545</v>
      </c>
      <c r="H37" s="35">
        <f>H$8*Assumptions!$D$26-'Actuals &amp; Forecast'!H31</f>
        <v>-2095</v>
      </c>
      <c r="I37" s="35">
        <f>I$8*Assumptions!$D$26-'Actuals &amp; Forecast'!I31</f>
        <v>-6422.5804500000086</v>
      </c>
      <c r="J37" s="35">
        <f>J$8*Assumptions!$D$26-'Actuals &amp; Forecast'!J31</f>
        <v>-6084.5499000000127</v>
      </c>
      <c r="K37" s="35">
        <f>K$8*Assumptions!$D$26-'Actuals &amp; Forecast'!K31</f>
        <v>-6422.5804500000086</v>
      </c>
      <c r="L37" s="35">
        <f>L$8*Assumptions!$D$26-'Actuals &amp; Forecast'!L31</f>
        <v>-7098.6415500000003</v>
      </c>
      <c r="M37" s="35">
        <f>M$8*Assumptions!$D$26-'Actuals &amp; Forecast'!M31</f>
        <v>-7436.6720999999961</v>
      </c>
      <c r="N37" s="35">
        <f>N$8*Assumptions!$D$26-'Actuals &amp; Forecast'!N31</f>
        <v>-6760.6110000000044</v>
      </c>
      <c r="O37" s="35">
        <f>SUM(C37:N37)</f>
        <v>-70000.635450000031</v>
      </c>
    </row>
    <row r="38" spans="2:15" x14ac:dyDescent="0.35">
      <c r="B38" s="3" t="s">
        <v>215</v>
      </c>
      <c r="C38" s="35">
        <f>C$8*Assumptions!$D$27-'Actuals &amp; Forecast'!C32</f>
        <v>-1190</v>
      </c>
      <c r="D38" s="35">
        <f>D$8*Assumptions!$D$27-'Actuals &amp; Forecast'!D32</f>
        <v>2330</v>
      </c>
      <c r="E38" s="35">
        <f>E$8*Assumptions!$D$27-'Actuals &amp; Forecast'!E32</f>
        <v>-2620</v>
      </c>
      <c r="F38" s="35">
        <f>F$8*Assumptions!$D$27-'Actuals &amp; Forecast'!F32</f>
        <v>390</v>
      </c>
      <c r="G38" s="35">
        <f>G$8*Assumptions!$D$27-'Actuals &amp; Forecast'!G32</f>
        <v>-5030</v>
      </c>
      <c r="H38" s="35">
        <f>H$8*Assumptions!$D$27-'Actuals &amp; Forecast'!H32</f>
        <v>1270</v>
      </c>
      <c r="I38" s="35">
        <f>I$8*Assumptions!$D$27-'Actuals &amp; Forecast'!I32</f>
        <v>-4281.7203000000154</v>
      </c>
      <c r="J38" s="35">
        <f>J$8*Assumptions!$D$27-'Actuals &amp; Forecast'!J32</f>
        <v>-4056.3666000000085</v>
      </c>
      <c r="K38" s="35">
        <f>K$8*Assumptions!$D$27-'Actuals &amp; Forecast'!K32</f>
        <v>-4281.7203000000154</v>
      </c>
      <c r="L38" s="35">
        <f>L$8*Assumptions!$D$27-'Actuals &amp; Forecast'!L32</f>
        <v>-4732.4277000000002</v>
      </c>
      <c r="M38" s="35">
        <f>M$8*Assumptions!$D$27-'Actuals &amp; Forecast'!M32</f>
        <v>-4957.7814000000071</v>
      </c>
      <c r="N38" s="35">
        <f>N$8*Assumptions!$D$27-'Actuals &amp; Forecast'!N32</f>
        <v>-4507.0739999999932</v>
      </c>
      <c r="O38" s="35">
        <f>SUM(C38:N38)</f>
        <v>-31667.09030000004</v>
      </c>
    </row>
    <row r="39" spans="2:15" x14ac:dyDescent="0.35">
      <c r="B39" s="33" t="s">
        <v>216</v>
      </c>
      <c r="C39" s="36">
        <f>SUM(C35:C38)</f>
        <v>-25280</v>
      </c>
      <c r="D39" s="36">
        <f t="shared" ref="D39:N39" si="12">SUM(D35:D38)</f>
        <v>-21040</v>
      </c>
      <c r="E39" s="36">
        <f t="shared" si="12"/>
        <v>-42440</v>
      </c>
      <c r="F39" s="36">
        <f t="shared" si="12"/>
        <v>-10320</v>
      </c>
      <c r="G39" s="36">
        <f t="shared" si="12"/>
        <v>-28360</v>
      </c>
      <c r="H39" s="36">
        <f t="shared" si="12"/>
        <v>-60760</v>
      </c>
      <c r="I39" s="36">
        <f t="shared" si="12"/>
        <v>-51380.643600000098</v>
      </c>
      <c r="J39" s="36">
        <f t="shared" si="12"/>
        <v>-48676.399200000073</v>
      </c>
      <c r="K39" s="36">
        <f t="shared" si="12"/>
        <v>-51380.643600000098</v>
      </c>
      <c r="L39" s="36">
        <f t="shared" si="12"/>
        <v>-56789.13240000006</v>
      </c>
      <c r="M39" s="36">
        <f t="shared" si="12"/>
        <v>-59493.376800000027</v>
      </c>
      <c r="N39" s="36">
        <f t="shared" si="12"/>
        <v>-54084.887999999977</v>
      </c>
      <c r="O39" s="36">
        <f>SUM(C39:N39)</f>
        <v>-510005.0836000003</v>
      </c>
    </row>
    <row r="41" spans="2:15" x14ac:dyDescent="0.35">
      <c r="B41" s="17" t="s">
        <v>129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2:15" x14ac:dyDescent="0.35">
      <c r="B42" s="3" t="s">
        <v>76</v>
      </c>
      <c r="C42" s="35">
        <f>'Rolling Budget'!C34</f>
        <v>6499999.9999999991</v>
      </c>
      <c r="D42" s="35">
        <f>'Rolling Budget'!D34</f>
        <v>6499999.9999999991</v>
      </c>
      <c r="E42" s="35">
        <f>'Rolling Budget'!E34</f>
        <v>6499999.9999999991</v>
      </c>
      <c r="F42" s="35">
        <f>'Rolling Budget'!F34</f>
        <v>6499999.9999999991</v>
      </c>
      <c r="G42" s="35">
        <f>'Rolling Budget'!G34</f>
        <v>6499999.9999999991</v>
      </c>
      <c r="H42" s="35">
        <f>'Rolling Budget'!H34</f>
        <v>6499999.9999999991</v>
      </c>
      <c r="I42" s="35">
        <f>'Rolling Budget'!I34</f>
        <v>6499999.9999999991</v>
      </c>
      <c r="J42" s="35">
        <f>'Rolling Budget'!J34</f>
        <v>6499999.9999999991</v>
      </c>
      <c r="K42" s="35">
        <f>'Rolling Budget'!K34</f>
        <v>6499999.9999999991</v>
      </c>
      <c r="L42" s="35">
        <f>'Rolling Budget'!L34</f>
        <v>6499999.9999999991</v>
      </c>
      <c r="M42" s="35">
        <f>'Rolling Budget'!M34</f>
        <v>6499999.9999999991</v>
      </c>
      <c r="N42" s="35">
        <f>'Rolling Budget'!N34</f>
        <v>6499999.9999999991</v>
      </c>
      <c r="O42" s="35">
        <f t="shared" ref="O42:O49" si="13">SUM(C42:N42)</f>
        <v>77999999.999999985</v>
      </c>
    </row>
    <row r="43" spans="2:15" x14ac:dyDescent="0.35">
      <c r="B43" s="3" t="s">
        <v>77</v>
      </c>
      <c r="C43" s="35">
        <f>'Actuals &amp; Forecast'!C40</f>
        <v>6573000</v>
      </c>
      <c r="D43" s="35">
        <f>'Actuals &amp; Forecast'!D40</f>
        <v>6506000</v>
      </c>
      <c r="E43" s="35">
        <f>'Actuals &amp; Forecast'!E40</f>
        <v>6600000</v>
      </c>
      <c r="F43" s="35">
        <f>'Actuals &amp; Forecast'!F40</f>
        <v>6556000</v>
      </c>
      <c r="G43" s="35">
        <f>'Actuals &amp; Forecast'!G40</f>
        <v>6611000</v>
      </c>
      <c r="H43" s="35">
        <f>'Actuals &amp; Forecast'!H40</f>
        <v>6582000</v>
      </c>
      <c r="I43" s="35">
        <f>'Actuals &amp; Forecast'!I40</f>
        <v>6662500</v>
      </c>
      <c r="J43" s="35">
        <f>'Actuals &amp; Forecast'!J40</f>
        <v>6662500</v>
      </c>
      <c r="K43" s="35">
        <f>'Actuals &amp; Forecast'!K40</f>
        <v>6662500</v>
      </c>
      <c r="L43" s="35">
        <f>'Actuals &amp; Forecast'!L40</f>
        <v>6662500</v>
      </c>
      <c r="M43" s="35">
        <f>'Actuals &amp; Forecast'!M40</f>
        <v>6662500</v>
      </c>
      <c r="N43" s="35">
        <f>'Actuals &amp; Forecast'!N40</f>
        <v>6662500</v>
      </c>
      <c r="O43" s="35">
        <f t="shared" si="13"/>
        <v>79403000</v>
      </c>
    </row>
    <row r="44" spans="2:15" x14ac:dyDescent="0.35">
      <c r="B44" s="3" t="s">
        <v>78</v>
      </c>
      <c r="C44" s="35">
        <f>C7*C11</f>
        <v>6037636.3636363633</v>
      </c>
      <c r="D44" s="35">
        <f t="shared" ref="D44:N44" si="14">D7*D11</f>
        <v>6270636.3636363642</v>
      </c>
      <c r="E44" s="35">
        <f t="shared" si="14"/>
        <v>6553454.5454545449</v>
      </c>
      <c r="F44" s="35">
        <f t="shared" si="14"/>
        <v>6813136.3636363633</v>
      </c>
      <c r="G44" s="35">
        <f t="shared" si="14"/>
        <v>7262272.7272727275</v>
      </c>
      <c r="H44" s="35">
        <f t="shared" si="14"/>
        <v>7048500.0000000009</v>
      </c>
      <c r="I44" s="35">
        <f t="shared" si="14"/>
        <v>6360250</v>
      </c>
      <c r="J44" s="35">
        <f t="shared" si="14"/>
        <v>6025500</v>
      </c>
      <c r="K44" s="35">
        <f t="shared" si="14"/>
        <v>6360250</v>
      </c>
      <c r="L44" s="35">
        <f t="shared" si="14"/>
        <v>7029750.0000000009</v>
      </c>
      <c r="M44" s="35">
        <f t="shared" si="14"/>
        <v>7364500.0000000009</v>
      </c>
      <c r="N44" s="35">
        <f t="shared" si="14"/>
        <v>6695000</v>
      </c>
      <c r="O44" s="35">
        <f t="shared" si="13"/>
        <v>79820886.363636374</v>
      </c>
    </row>
    <row r="45" spans="2:15" x14ac:dyDescent="0.35">
      <c r="B45" s="3" t="s">
        <v>201</v>
      </c>
      <c r="C45" s="35">
        <f>C42-C43</f>
        <v>-73000.000000000931</v>
      </c>
      <c r="D45" s="35">
        <f t="shared" ref="D45:N45" si="15">D42-D43</f>
        <v>-6000.0000000009313</v>
      </c>
      <c r="E45" s="35">
        <f t="shared" si="15"/>
        <v>-100000.00000000093</v>
      </c>
      <c r="F45" s="35">
        <f t="shared" si="15"/>
        <v>-56000.000000000931</v>
      </c>
      <c r="G45" s="35">
        <f t="shared" si="15"/>
        <v>-111000.00000000093</v>
      </c>
      <c r="H45" s="35">
        <f t="shared" si="15"/>
        <v>-82000.000000000931</v>
      </c>
      <c r="I45" s="35">
        <f t="shared" si="15"/>
        <v>-162500.00000000093</v>
      </c>
      <c r="J45" s="35">
        <f t="shared" si="15"/>
        <v>-162500.00000000093</v>
      </c>
      <c r="K45" s="35">
        <f t="shared" si="15"/>
        <v>-162500.00000000093</v>
      </c>
      <c r="L45" s="35">
        <f t="shared" si="15"/>
        <v>-162500.00000000093</v>
      </c>
      <c r="M45" s="35">
        <f t="shared" si="15"/>
        <v>-162500.00000000093</v>
      </c>
      <c r="N45" s="35">
        <f t="shared" si="15"/>
        <v>-162500.00000000093</v>
      </c>
      <c r="O45" s="35">
        <f t="shared" si="13"/>
        <v>-1403000.0000000112</v>
      </c>
    </row>
    <row r="46" spans="2:15" x14ac:dyDescent="0.35">
      <c r="B46" s="3" t="s">
        <v>202</v>
      </c>
      <c r="C46" s="35">
        <f>C44-C42</f>
        <v>-462363.63636363577</v>
      </c>
      <c r="D46" s="35">
        <f t="shared" ref="D46:N46" si="16">D44-D42</f>
        <v>-229363.63636363484</v>
      </c>
      <c r="E46" s="35">
        <f t="shared" si="16"/>
        <v>53454.545454545878</v>
      </c>
      <c r="F46" s="35">
        <f t="shared" si="16"/>
        <v>313136.36363636423</v>
      </c>
      <c r="G46" s="35">
        <f t="shared" si="16"/>
        <v>762272.72727272846</v>
      </c>
      <c r="H46" s="35">
        <f t="shared" si="16"/>
        <v>548500.00000000186</v>
      </c>
      <c r="I46" s="35">
        <f t="shared" si="16"/>
        <v>-139749.99999999907</v>
      </c>
      <c r="J46" s="35">
        <f t="shared" si="16"/>
        <v>-474499.99999999907</v>
      </c>
      <c r="K46" s="35">
        <f t="shared" si="16"/>
        <v>-139749.99999999907</v>
      </c>
      <c r="L46" s="35">
        <f t="shared" si="16"/>
        <v>529750.00000000186</v>
      </c>
      <c r="M46" s="35">
        <f t="shared" si="16"/>
        <v>864500.00000000186</v>
      </c>
      <c r="N46" s="35">
        <f t="shared" si="16"/>
        <v>195000.00000000093</v>
      </c>
      <c r="O46" s="35">
        <f t="shared" si="13"/>
        <v>1820886.3636363773</v>
      </c>
    </row>
    <row r="47" spans="2:15" x14ac:dyDescent="0.35">
      <c r="B47" s="3" t="s">
        <v>203</v>
      </c>
      <c r="C47" s="35">
        <f>(C8-C9)*C11</f>
        <v>368636.36363636365</v>
      </c>
      <c r="D47" s="35">
        <f t="shared" ref="D47:N47" si="17">(D8-D9)*D11</f>
        <v>158181.81818181818</v>
      </c>
      <c r="E47" s="35">
        <f t="shared" si="17"/>
        <v>380909.09090909094</v>
      </c>
      <c r="F47" s="35">
        <f t="shared" si="17"/>
        <v>-80000</v>
      </c>
      <c r="G47" s="35">
        <f t="shared" si="17"/>
        <v>257727.27272727274</v>
      </c>
      <c r="H47" s="35">
        <f t="shared" si="17"/>
        <v>505454.54545454547</v>
      </c>
      <c r="I47" s="35">
        <f t="shared" si="17"/>
        <v>312454.99999999994</v>
      </c>
      <c r="J47" s="35">
        <f t="shared" si="17"/>
        <v>296009.99999999988</v>
      </c>
      <c r="K47" s="35">
        <f t="shared" si="17"/>
        <v>312454.99999999994</v>
      </c>
      <c r="L47" s="35">
        <f t="shared" si="17"/>
        <v>345345.00000000087</v>
      </c>
      <c r="M47" s="35">
        <f t="shared" si="17"/>
        <v>361790.00000000087</v>
      </c>
      <c r="N47" s="35">
        <f t="shared" si="17"/>
        <v>328900</v>
      </c>
      <c r="O47" s="35">
        <f t="shared" si="13"/>
        <v>3547864.0909090927</v>
      </c>
    </row>
    <row r="48" spans="2:15" x14ac:dyDescent="0.35">
      <c r="B48" s="3" t="s">
        <v>204</v>
      </c>
      <c r="C48" s="35">
        <f>(C7-C8)*C11</f>
        <v>-181000.00000000035</v>
      </c>
      <c r="D48" s="35">
        <f t="shared" ref="D48:N48" si="18">(D7-D8)*D11</f>
        <v>-62545.454545453889</v>
      </c>
      <c r="E48" s="35">
        <f t="shared" si="18"/>
        <v>-327454.54545454611</v>
      </c>
      <c r="F48" s="35">
        <f t="shared" si="18"/>
        <v>68136.363636363472</v>
      </c>
      <c r="G48" s="35">
        <f t="shared" si="18"/>
        <v>-145454.54545454547</v>
      </c>
      <c r="H48" s="35">
        <f t="shared" si="18"/>
        <v>-281954.54545454512</v>
      </c>
      <c r="I48" s="35">
        <f t="shared" si="18"/>
        <v>-127205.00000000026</v>
      </c>
      <c r="J48" s="35">
        <f t="shared" si="18"/>
        <v>-120509.99999999972</v>
      </c>
      <c r="K48" s="35">
        <f t="shared" si="18"/>
        <v>-127205.00000000026</v>
      </c>
      <c r="L48" s="35">
        <f t="shared" si="18"/>
        <v>-140595.00000000049</v>
      </c>
      <c r="M48" s="35">
        <f t="shared" si="18"/>
        <v>-147290.0000000002</v>
      </c>
      <c r="N48" s="35">
        <f t="shared" si="18"/>
        <v>-133899.99999999997</v>
      </c>
      <c r="O48" s="35">
        <f t="shared" si="13"/>
        <v>-1726977.7272727285</v>
      </c>
    </row>
    <row r="49" spans="2:15" x14ac:dyDescent="0.35">
      <c r="B49" s="33" t="s">
        <v>205</v>
      </c>
      <c r="C49" s="36">
        <f>C44-C43</f>
        <v>-535363.6363636367</v>
      </c>
      <c r="D49" s="36">
        <f t="shared" ref="D49:N49" si="19">D44-D43</f>
        <v>-235363.63636363577</v>
      </c>
      <c r="E49" s="36">
        <f t="shared" si="19"/>
        <v>-46545.454545455053</v>
      </c>
      <c r="F49" s="36">
        <f t="shared" si="19"/>
        <v>257136.3636363633</v>
      </c>
      <c r="G49" s="36">
        <f t="shared" si="19"/>
        <v>651272.72727272753</v>
      </c>
      <c r="H49" s="36">
        <f t="shared" si="19"/>
        <v>466500.00000000093</v>
      </c>
      <c r="I49" s="36">
        <f t="shared" si="19"/>
        <v>-302250</v>
      </c>
      <c r="J49" s="36">
        <f t="shared" si="19"/>
        <v>-637000</v>
      </c>
      <c r="K49" s="36">
        <f t="shared" si="19"/>
        <v>-302250</v>
      </c>
      <c r="L49" s="36">
        <f t="shared" si="19"/>
        <v>367250.00000000093</v>
      </c>
      <c r="M49" s="36">
        <f t="shared" si="19"/>
        <v>702000.00000000093</v>
      </c>
      <c r="N49" s="36">
        <f t="shared" si="19"/>
        <v>32500</v>
      </c>
      <c r="O49" s="36">
        <f t="shared" si="13"/>
        <v>417886.36363636609</v>
      </c>
    </row>
    <row r="50" spans="2:15" x14ac:dyDescent="0.35">
      <c r="B50" s="47" t="s">
        <v>79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2:15" x14ac:dyDescent="0.35">
      <c r="B51" s="3" t="s">
        <v>217</v>
      </c>
      <c r="C51" s="35">
        <f>'Rolling Budget'!C30-'Actuals &amp; Forecast'!C36</f>
        <v>-53333.333333333489</v>
      </c>
      <c r="D51" s="35">
        <f>'Rolling Budget'!D30-'Actuals &amp; Forecast'!D36</f>
        <v>26666.666666666511</v>
      </c>
      <c r="E51" s="35">
        <f>'Rolling Budget'!E30-'Actuals &amp; Forecast'!E36</f>
        <v>-80333.333333333489</v>
      </c>
      <c r="F51" s="35">
        <f>'Rolling Budget'!F30-'Actuals &amp; Forecast'!F36</f>
        <v>-26333.333333333489</v>
      </c>
      <c r="G51" s="35">
        <f>'Rolling Budget'!G30-'Actuals &amp; Forecast'!G36</f>
        <v>-106333.33333333349</v>
      </c>
      <c r="H51" s="35">
        <f>'Rolling Budget'!H30-'Actuals &amp; Forecast'!H36</f>
        <v>-333.33333333348855</v>
      </c>
      <c r="I51" s="35">
        <f>'Rolling Budget'!I30-'Actuals &amp; Forecast'!I36</f>
        <v>-66666.666666666511</v>
      </c>
      <c r="J51" s="35">
        <f>'Rolling Budget'!J30-'Actuals &amp; Forecast'!J36</f>
        <v>-66666.666666666511</v>
      </c>
      <c r="K51" s="35">
        <f>'Rolling Budget'!K30-'Actuals &amp; Forecast'!K36</f>
        <v>-66666.666666666511</v>
      </c>
      <c r="L51" s="35">
        <f>'Rolling Budget'!L30-'Actuals &amp; Forecast'!L36</f>
        <v>-66666.666666666511</v>
      </c>
      <c r="M51" s="35">
        <f>'Rolling Budget'!M30-'Actuals &amp; Forecast'!M36</f>
        <v>-66666.666666666511</v>
      </c>
      <c r="N51" s="35">
        <f>'Rolling Budget'!N30-'Actuals &amp; Forecast'!N36</f>
        <v>-66666.666666666511</v>
      </c>
      <c r="O51" s="35">
        <f>SUM(C51:N51)</f>
        <v>-640000</v>
      </c>
    </row>
    <row r="52" spans="2:15" x14ac:dyDescent="0.35">
      <c r="B52" s="3" t="s">
        <v>218</v>
      </c>
      <c r="C52" s="35">
        <f>'Rolling Budget'!C31-'Actuals &amp; Forecast'!C37</f>
        <v>17000</v>
      </c>
      <c r="D52" s="35">
        <f>'Rolling Budget'!D31-'Actuals &amp; Forecast'!D37</f>
        <v>-18000</v>
      </c>
      <c r="E52" s="35">
        <f>'Rolling Budget'!E31-'Actuals &amp; Forecast'!E37</f>
        <v>0</v>
      </c>
      <c r="F52" s="35">
        <f>'Rolling Budget'!F31-'Actuals &amp; Forecast'!F37</f>
        <v>-35000</v>
      </c>
      <c r="G52" s="35">
        <f>'Rolling Budget'!G31-'Actuals &amp; Forecast'!G37</f>
        <v>35000</v>
      </c>
      <c r="H52" s="35">
        <f>'Rolling Budget'!H31-'Actuals &amp; Forecast'!H37</f>
        <v>-53000</v>
      </c>
      <c r="I52" s="35">
        <f>'Rolling Budget'!I31-'Actuals &amp; Forecast'!I37</f>
        <v>-43749.999999999767</v>
      </c>
      <c r="J52" s="35">
        <f>'Rolling Budget'!J31-'Actuals &amp; Forecast'!J37</f>
        <v>-43749.999999999767</v>
      </c>
      <c r="K52" s="35">
        <f>'Rolling Budget'!K31-'Actuals &amp; Forecast'!K37</f>
        <v>-43749.999999999767</v>
      </c>
      <c r="L52" s="35">
        <f>'Rolling Budget'!L31-'Actuals &amp; Forecast'!L37</f>
        <v>-43749.999999999767</v>
      </c>
      <c r="M52" s="35">
        <f>'Rolling Budget'!M31-'Actuals &amp; Forecast'!M37</f>
        <v>-43749.999999999767</v>
      </c>
      <c r="N52" s="35">
        <f>'Rolling Budget'!N31-'Actuals &amp; Forecast'!N37</f>
        <v>-43749.999999999767</v>
      </c>
      <c r="O52" s="35">
        <f>SUM(C52:N52)</f>
        <v>-316499.9999999986</v>
      </c>
    </row>
    <row r="53" spans="2:15" x14ac:dyDescent="0.35">
      <c r="B53" s="3" t="s">
        <v>219</v>
      </c>
      <c r="C53" s="35">
        <f>'Rolling Budget'!C32-'Actuals &amp; Forecast'!C38</f>
        <v>-23000</v>
      </c>
      <c r="D53" s="35">
        <f>'Rolling Budget'!D32-'Actuals &amp; Forecast'!D38</f>
        <v>-15000</v>
      </c>
      <c r="E53" s="35">
        <f>'Rolling Budget'!E32-'Actuals &amp; Forecast'!E38</f>
        <v>7000</v>
      </c>
      <c r="F53" s="35">
        <f>'Rolling Budget'!F32-'Actuals &amp; Forecast'!F38</f>
        <v>-8000</v>
      </c>
      <c r="G53" s="35">
        <f>'Rolling Budget'!G32-'Actuals &amp; Forecast'!G38</f>
        <v>0</v>
      </c>
      <c r="H53" s="35">
        <f>'Rolling Budget'!H32-'Actuals &amp; Forecast'!H38</f>
        <v>-15000</v>
      </c>
      <c r="I53" s="35">
        <f>'Rolling Budget'!I32-'Actuals &amp; Forecast'!I38</f>
        <v>-18749.999999999884</v>
      </c>
      <c r="J53" s="35">
        <f>'Rolling Budget'!J32-'Actuals &amp; Forecast'!J38</f>
        <v>-18749.999999999884</v>
      </c>
      <c r="K53" s="35">
        <f>'Rolling Budget'!K32-'Actuals &amp; Forecast'!K38</f>
        <v>-18749.999999999884</v>
      </c>
      <c r="L53" s="35">
        <f>'Rolling Budget'!L32-'Actuals &amp; Forecast'!L38</f>
        <v>-18749.999999999884</v>
      </c>
      <c r="M53" s="35">
        <f>'Rolling Budget'!M32-'Actuals &amp; Forecast'!M38</f>
        <v>-18749.999999999884</v>
      </c>
      <c r="N53" s="35">
        <f>'Rolling Budget'!N32-'Actuals &amp; Forecast'!N38</f>
        <v>-18749.999999999884</v>
      </c>
      <c r="O53" s="35">
        <f>SUM(C53:N53)</f>
        <v>-166499.9999999993</v>
      </c>
    </row>
    <row r="54" spans="2:15" x14ac:dyDescent="0.35">
      <c r="B54" s="3" t="s">
        <v>220</v>
      </c>
      <c r="C54" s="35">
        <f>'Rolling Budget'!C33-'Actuals &amp; Forecast'!C39</f>
        <v>-13666.666666666744</v>
      </c>
      <c r="D54" s="35">
        <f>'Rolling Budget'!D33-'Actuals &amp; Forecast'!D39</f>
        <v>333.33333333325572</v>
      </c>
      <c r="E54" s="35">
        <f>'Rolling Budget'!E33-'Actuals &amp; Forecast'!E39</f>
        <v>-26666.666666666744</v>
      </c>
      <c r="F54" s="35">
        <f>'Rolling Budget'!F33-'Actuals &amp; Forecast'!F39</f>
        <v>13333.333333333256</v>
      </c>
      <c r="G54" s="35">
        <f>'Rolling Budget'!G33-'Actuals &amp; Forecast'!G39</f>
        <v>-39666.666666666744</v>
      </c>
      <c r="H54" s="35">
        <f>'Rolling Budget'!H33-'Actuals &amp; Forecast'!H39</f>
        <v>-13666.666666666744</v>
      </c>
      <c r="I54" s="35">
        <f>'Rolling Budget'!I33-'Actuals &amp; Forecast'!I39</f>
        <v>-33333.333333333256</v>
      </c>
      <c r="J54" s="35">
        <f>'Rolling Budget'!J33-'Actuals &amp; Forecast'!J39</f>
        <v>-33333.333333333256</v>
      </c>
      <c r="K54" s="35">
        <f>'Rolling Budget'!K33-'Actuals &amp; Forecast'!K39</f>
        <v>-33333.333333333256</v>
      </c>
      <c r="L54" s="35">
        <f>'Rolling Budget'!L33-'Actuals &amp; Forecast'!L39</f>
        <v>-33333.333333333256</v>
      </c>
      <c r="M54" s="35">
        <f>'Rolling Budget'!M33-'Actuals &amp; Forecast'!M39</f>
        <v>-33333.333333333256</v>
      </c>
      <c r="N54" s="35">
        <f>'Rolling Budget'!N33-'Actuals &amp; Forecast'!N39</f>
        <v>-33333.333333333256</v>
      </c>
      <c r="O54" s="35">
        <f>SUM(C54:N54)</f>
        <v>-280000</v>
      </c>
    </row>
    <row r="55" spans="2:15" x14ac:dyDescent="0.35">
      <c r="B55" s="33" t="s">
        <v>221</v>
      </c>
      <c r="C55" s="36">
        <f>SUM(C51:C54)</f>
        <v>-73000.000000000233</v>
      </c>
      <c r="D55" s="36">
        <f t="shared" ref="D55:N55" si="20">SUM(D51:D54)</f>
        <v>-6000.0000000002328</v>
      </c>
      <c r="E55" s="36">
        <f t="shared" si="20"/>
        <v>-100000.00000000023</v>
      </c>
      <c r="F55" s="36">
        <f t="shared" si="20"/>
        <v>-56000.000000000233</v>
      </c>
      <c r="G55" s="36">
        <f t="shared" si="20"/>
        <v>-111000.00000000023</v>
      </c>
      <c r="H55" s="36">
        <f t="shared" si="20"/>
        <v>-82000.000000000233</v>
      </c>
      <c r="I55" s="36">
        <f t="shared" si="20"/>
        <v>-162499.99999999942</v>
      </c>
      <c r="J55" s="36">
        <f t="shared" si="20"/>
        <v>-162499.99999999942</v>
      </c>
      <c r="K55" s="36">
        <f t="shared" si="20"/>
        <v>-162499.99999999942</v>
      </c>
      <c r="L55" s="36">
        <f t="shared" si="20"/>
        <v>-162499.99999999942</v>
      </c>
      <c r="M55" s="36">
        <f t="shared" si="20"/>
        <v>-162499.99999999942</v>
      </c>
      <c r="N55" s="36">
        <f t="shared" si="20"/>
        <v>-162499.99999999942</v>
      </c>
      <c r="O55" s="36">
        <f>SUM(C55:N55)</f>
        <v>-1402999.9999999981</v>
      </c>
    </row>
    <row r="57" spans="2:15" x14ac:dyDescent="0.35">
      <c r="B57" s="17" t="s">
        <v>130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5" x14ac:dyDescent="0.35">
      <c r="B58" s="37" t="s">
        <v>206</v>
      </c>
      <c r="C58" s="38">
        <f>C33+C49</f>
        <v>-608427.63636363682</v>
      </c>
      <c r="D58" s="38">
        <f t="shared" ref="D58:N58" si="21">D33+D49</f>
        <v>-272915.6363636356</v>
      </c>
      <c r="E58" s="38">
        <f t="shared" si="21"/>
        <v>-175433.45454545523</v>
      </c>
      <c r="F58" s="38">
        <f t="shared" si="21"/>
        <v>264804.36363636324</v>
      </c>
      <c r="G58" s="38">
        <f t="shared" si="21"/>
        <v>584512.72727272753</v>
      </c>
      <c r="H58" s="38">
        <f t="shared" si="21"/>
        <v>331304.00000000105</v>
      </c>
      <c r="I58" s="38">
        <f t="shared" si="21"/>
        <v>-387212.76359999989</v>
      </c>
      <c r="J58" s="38">
        <f t="shared" si="21"/>
        <v>-717491.0392</v>
      </c>
      <c r="K58" s="38">
        <f t="shared" si="21"/>
        <v>-387212.76359999989</v>
      </c>
      <c r="L58" s="38">
        <f t="shared" si="21"/>
        <v>273343.7876000008</v>
      </c>
      <c r="M58" s="38">
        <f t="shared" si="21"/>
        <v>603622.06320000091</v>
      </c>
      <c r="N58" s="38">
        <f t="shared" si="21"/>
        <v>-56934.488000000027</v>
      </c>
      <c r="O58" s="38">
        <f>SUM(C58:N58)</f>
        <v>-548040.83996363392</v>
      </c>
    </row>
    <row r="59" spans="2:15" x14ac:dyDescent="0.35">
      <c r="B59" s="13" t="s">
        <v>156</v>
      </c>
      <c r="C59" s="45" t="str">
        <f>IF(C58&gt;0,"F","U")</f>
        <v>U</v>
      </c>
      <c r="D59" s="45" t="str">
        <f t="shared" ref="D59:O59" si="22">IF(D58&gt;0,"F","U")</f>
        <v>U</v>
      </c>
      <c r="E59" s="45" t="str">
        <f t="shared" si="22"/>
        <v>U</v>
      </c>
      <c r="F59" s="45" t="str">
        <f t="shared" si="22"/>
        <v>F</v>
      </c>
      <c r="G59" s="45" t="str">
        <f t="shared" si="22"/>
        <v>F</v>
      </c>
      <c r="H59" s="45" t="str">
        <f t="shared" si="22"/>
        <v>F</v>
      </c>
      <c r="I59" s="45" t="str">
        <f t="shared" si="22"/>
        <v>U</v>
      </c>
      <c r="J59" s="45" t="str">
        <f t="shared" si="22"/>
        <v>U</v>
      </c>
      <c r="K59" s="45" t="str">
        <f t="shared" si="22"/>
        <v>U</v>
      </c>
      <c r="L59" s="45" t="str">
        <f t="shared" si="22"/>
        <v>F</v>
      </c>
      <c r="M59" s="45" t="str">
        <f t="shared" si="22"/>
        <v>F</v>
      </c>
      <c r="N59" s="45" t="str">
        <f t="shared" si="22"/>
        <v>U</v>
      </c>
      <c r="O59" s="45" t="str">
        <f t="shared" si="22"/>
        <v>U</v>
      </c>
    </row>
    <row r="61" spans="2:15" x14ac:dyDescent="0.35">
      <c r="B61" s="13" t="s">
        <v>133</v>
      </c>
    </row>
    <row r="62" spans="2:15" x14ac:dyDescent="0.35">
      <c r="B62" s="3" t="s">
        <v>134</v>
      </c>
      <c r="C62" s="32">
        <f>C25</f>
        <v>0</v>
      </c>
      <c r="D62" s="32">
        <f t="shared" ref="D62:O62" si="23">D25</f>
        <v>0</v>
      </c>
      <c r="E62" s="32">
        <f t="shared" si="23"/>
        <v>0</v>
      </c>
      <c r="F62" s="32">
        <f t="shared" si="23"/>
        <v>0</v>
      </c>
      <c r="G62" s="32">
        <f t="shared" si="23"/>
        <v>0</v>
      </c>
      <c r="H62" s="32">
        <f t="shared" si="23"/>
        <v>0</v>
      </c>
      <c r="I62" s="32">
        <f t="shared" si="23"/>
        <v>0</v>
      </c>
      <c r="J62" s="32">
        <f t="shared" si="23"/>
        <v>0</v>
      </c>
      <c r="K62" s="32">
        <f t="shared" si="23"/>
        <v>0</v>
      </c>
      <c r="L62" s="32">
        <f t="shared" si="23"/>
        <v>0</v>
      </c>
      <c r="M62" s="32">
        <f t="shared" si="23"/>
        <v>0</v>
      </c>
      <c r="N62" s="32">
        <f t="shared" si="23"/>
        <v>0</v>
      </c>
      <c r="O62" s="32">
        <f t="shared" si="23"/>
        <v>0</v>
      </c>
    </row>
    <row r="63" spans="2:15" x14ac:dyDescent="0.35">
      <c r="B63" s="3" t="s">
        <v>135</v>
      </c>
      <c r="C63" s="32">
        <f>ROUND(C31+C32-C33,2)</f>
        <v>0</v>
      </c>
      <c r="D63" s="32">
        <f t="shared" ref="D63:O63" si="24">ROUND(D31+D32-D33,2)</f>
        <v>0</v>
      </c>
      <c r="E63" s="32">
        <f t="shared" si="24"/>
        <v>0</v>
      </c>
      <c r="F63" s="32">
        <f t="shared" si="24"/>
        <v>0</v>
      </c>
      <c r="G63" s="32">
        <f t="shared" si="24"/>
        <v>0</v>
      </c>
      <c r="H63" s="32">
        <f t="shared" si="24"/>
        <v>0</v>
      </c>
      <c r="I63" s="32">
        <f t="shared" si="24"/>
        <v>0</v>
      </c>
      <c r="J63" s="32">
        <f t="shared" si="24"/>
        <v>0</v>
      </c>
      <c r="K63" s="32">
        <f t="shared" si="24"/>
        <v>0</v>
      </c>
      <c r="L63" s="32">
        <f t="shared" si="24"/>
        <v>0</v>
      </c>
      <c r="M63" s="32">
        <f t="shared" si="24"/>
        <v>0</v>
      </c>
      <c r="N63" s="32">
        <f t="shared" si="24"/>
        <v>0</v>
      </c>
      <c r="O63" s="32">
        <f t="shared" si="24"/>
        <v>0</v>
      </c>
    </row>
    <row r="64" spans="2:15" x14ac:dyDescent="0.35">
      <c r="B64" s="3" t="s">
        <v>136</v>
      </c>
      <c r="C64" s="32">
        <f t="shared" ref="C64:O64" si="25">ROUND(C39-C31,2)</f>
        <v>0</v>
      </c>
      <c r="D64" s="32">
        <f t="shared" si="25"/>
        <v>0</v>
      </c>
      <c r="E64" s="32">
        <f t="shared" si="25"/>
        <v>0</v>
      </c>
      <c r="F64" s="32">
        <f t="shared" si="25"/>
        <v>0</v>
      </c>
      <c r="G64" s="32">
        <f t="shared" si="25"/>
        <v>0</v>
      </c>
      <c r="H64" s="32">
        <f t="shared" si="25"/>
        <v>0</v>
      </c>
      <c r="I64" s="32">
        <f t="shared" si="25"/>
        <v>0</v>
      </c>
      <c r="J64" s="32">
        <f t="shared" si="25"/>
        <v>0</v>
      </c>
      <c r="K64" s="32">
        <f t="shared" si="25"/>
        <v>0</v>
      </c>
      <c r="L64" s="32">
        <f t="shared" si="25"/>
        <v>0</v>
      </c>
      <c r="M64" s="32">
        <f t="shared" si="25"/>
        <v>0</v>
      </c>
      <c r="N64" s="32">
        <f t="shared" si="25"/>
        <v>0</v>
      </c>
      <c r="O64" s="32">
        <f t="shared" si="25"/>
        <v>0</v>
      </c>
    </row>
    <row r="65" spans="2:15" x14ac:dyDescent="0.35">
      <c r="B65" s="3" t="s">
        <v>114</v>
      </c>
      <c r="C65" s="32">
        <f t="shared" ref="C65:O65" si="26">ROUND(C45+C46-C49,2)</f>
        <v>0</v>
      </c>
      <c r="D65" s="32">
        <f t="shared" si="26"/>
        <v>0</v>
      </c>
      <c r="E65" s="32">
        <f t="shared" si="26"/>
        <v>0</v>
      </c>
      <c r="F65" s="32">
        <f t="shared" si="26"/>
        <v>0</v>
      </c>
      <c r="G65" s="32">
        <f t="shared" si="26"/>
        <v>0</v>
      </c>
      <c r="H65" s="32">
        <f t="shared" si="26"/>
        <v>0</v>
      </c>
      <c r="I65" s="32">
        <f t="shared" si="26"/>
        <v>0</v>
      </c>
      <c r="J65" s="32">
        <f t="shared" si="26"/>
        <v>0</v>
      </c>
      <c r="K65" s="32">
        <f t="shared" si="26"/>
        <v>0</v>
      </c>
      <c r="L65" s="32">
        <f t="shared" si="26"/>
        <v>0</v>
      </c>
      <c r="M65" s="32">
        <f t="shared" si="26"/>
        <v>0</v>
      </c>
      <c r="N65" s="32">
        <f t="shared" si="26"/>
        <v>0</v>
      </c>
      <c r="O65" s="32">
        <f t="shared" si="26"/>
        <v>0</v>
      </c>
    </row>
    <row r="66" spans="2:15" x14ac:dyDescent="0.35">
      <c r="B66" s="3" t="s">
        <v>139</v>
      </c>
      <c r="C66" s="32">
        <f t="shared" ref="C66:O66" si="27">ROUND(C47+C48-(C44-C9*C11),2)</f>
        <v>0</v>
      </c>
      <c r="D66" s="32">
        <f t="shared" si="27"/>
        <v>0</v>
      </c>
      <c r="E66" s="32">
        <f t="shared" si="27"/>
        <v>0</v>
      </c>
      <c r="F66" s="32">
        <f t="shared" si="27"/>
        <v>0</v>
      </c>
      <c r="G66" s="32">
        <f t="shared" si="27"/>
        <v>0</v>
      </c>
      <c r="H66" s="32">
        <f t="shared" si="27"/>
        <v>0</v>
      </c>
      <c r="I66" s="32">
        <f t="shared" si="27"/>
        <v>0</v>
      </c>
      <c r="J66" s="32">
        <f t="shared" si="27"/>
        <v>0</v>
      </c>
      <c r="K66" s="32">
        <f t="shared" si="27"/>
        <v>0</v>
      </c>
      <c r="L66" s="32">
        <f t="shared" si="27"/>
        <v>0</v>
      </c>
      <c r="M66" s="32">
        <f t="shared" si="27"/>
        <v>0</v>
      </c>
      <c r="N66" s="32">
        <f t="shared" si="27"/>
        <v>0</v>
      </c>
      <c r="O66" s="32">
        <f t="shared" si="27"/>
        <v>0</v>
      </c>
    </row>
    <row r="67" spans="2:15" x14ac:dyDescent="0.35">
      <c r="B67" s="3" t="s">
        <v>137</v>
      </c>
      <c r="C67" s="32">
        <f t="shared" ref="C67:O67" si="28">ROUND(C55-C45,2)</f>
        <v>0</v>
      </c>
      <c r="D67" s="32">
        <f t="shared" si="28"/>
        <v>0</v>
      </c>
      <c r="E67" s="32">
        <f t="shared" si="28"/>
        <v>0</v>
      </c>
      <c r="F67" s="32">
        <f t="shared" si="28"/>
        <v>0</v>
      </c>
      <c r="G67" s="32">
        <f t="shared" si="28"/>
        <v>0</v>
      </c>
      <c r="H67" s="32">
        <f t="shared" si="28"/>
        <v>0</v>
      </c>
      <c r="I67" s="32">
        <f t="shared" si="28"/>
        <v>0</v>
      </c>
      <c r="J67" s="32">
        <f t="shared" si="28"/>
        <v>0</v>
      </c>
      <c r="K67" s="32">
        <f t="shared" si="28"/>
        <v>0</v>
      </c>
      <c r="L67" s="32">
        <f t="shared" si="28"/>
        <v>0</v>
      </c>
      <c r="M67" s="32">
        <f t="shared" si="28"/>
        <v>0</v>
      </c>
      <c r="N67" s="32">
        <f t="shared" si="28"/>
        <v>0</v>
      </c>
      <c r="O67" s="32">
        <f t="shared" si="28"/>
        <v>0</v>
      </c>
    </row>
    <row r="68" spans="2:15" x14ac:dyDescent="0.35">
      <c r="B68" s="3" t="s">
        <v>138</v>
      </c>
      <c r="C68" s="32">
        <f t="shared" ref="C68:O68" si="29">ROUND(C33+C49-C58,2)</f>
        <v>0</v>
      </c>
      <c r="D68" s="32">
        <f t="shared" si="29"/>
        <v>0</v>
      </c>
      <c r="E68" s="32">
        <f t="shared" si="29"/>
        <v>0</v>
      </c>
      <c r="F68" s="32">
        <f t="shared" si="29"/>
        <v>0</v>
      </c>
      <c r="G68" s="32">
        <f t="shared" si="29"/>
        <v>0</v>
      </c>
      <c r="H68" s="32">
        <f t="shared" si="29"/>
        <v>0</v>
      </c>
      <c r="I68" s="32">
        <f t="shared" si="29"/>
        <v>0</v>
      </c>
      <c r="J68" s="32">
        <f t="shared" si="29"/>
        <v>0</v>
      </c>
      <c r="K68" s="32">
        <f t="shared" si="29"/>
        <v>0</v>
      </c>
      <c r="L68" s="32">
        <f t="shared" si="29"/>
        <v>0</v>
      </c>
      <c r="M68" s="32">
        <f t="shared" si="29"/>
        <v>0</v>
      </c>
      <c r="N68" s="32">
        <f t="shared" si="29"/>
        <v>0</v>
      </c>
      <c r="O68" s="32">
        <f t="shared" si="29"/>
        <v>0</v>
      </c>
    </row>
    <row r="69" spans="2:15" x14ac:dyDescent="0.35">
      <c r="B69" s="13" t="s">
        <v>113</v>
      </c>
      <c r="C69" s="45" t="str" cm="1">
        <f t="array" ref="C69">IF(SUMPRODUCT(ABS(C62:C68))=0,"OK","ERROR")</f>
        <v>OK</v>
      </c>
      <c r="D69" s="45" t="str" cm="1">
        <f t="array" ref="D69">IF(SUMPRODUCT(ABS(D62:D68))=0,"OK","ERROR")</f>
        <v>OK</v>
      </c>
      <c r="E69" s="45" t="str" cm="1">
        <f t="array" ref="E69">IF(SUMPRODUCT(ABS(E62:E68))=0,"OK","ERROR")</f>
        <v>OK</v>
      </c>
      <c r="F69" s="45" t="str" cm="1">
        <f t="array" ref="F69">IF(SUMPRODUCT(ABS(F62:F68))=0,"OK","ERROR")</f>
        <v>OK</v>
      </c>
      <c r="G69" s="45" t="str" cm="1">
        <f t="array" ref="G69">IF(SUMPRODUCT(ABS(G62:G68))=0,"OK","ERROR")</f>
        <v>OK</v>
      </c>
      <c r="H69" s="45" t="str" cm="1">
        <f t="array" ref="H69">IF(SUMPRODUCT(ABS(H62:H68))=0,"OK","ERROR")</f>
        <v>OK</v>
      </c>
      <c r="I69" s="45" t="str" cm="1">
        <f t="array" ref="I69">IF(SUMPRODUCT(ABS(I62:I68))=0,"OK","ERROR")</f>
        <v>OK</v>
      </c>
      <c r="J69" s="45" t="str" cm="1">
        <f t="array" ref="J69">IF(SUMPRODUCT(ABS(J62:J68))=0,"OK","ERROR")</f>
        <v>OK</v>
      </c>
      <c r="K69" s="45" t="str" cm="1">
        <f t="array" ref="K69">IF(SUMPRODUCT(ABS(K62:K68))=0,"OK","ERROR")</f>
        <v>OK</v>
      </c>
      <c r="L69" s="45" t="str" cm="1">
        <f t="array" ref="L69">IF(SUMPRODUCT(ABS(L62:L68))=0,"OK","ERROR")</f>
        <v>OK</v>
      </c>
      <c r="M69" s="45" t="str" cm="1">
        <f t="array" ref="M69">IF(SUMPRODUCT(ABS(M62:M68))=0,"OK","ERROR")</f>
        <v>OK</v>
      </c>
      <c r="N69" s="45" t="str" cm="1">
        <f t="array" ref="N69">IF(SUMPRODUCT(ABS(N62:N68))=0,"OK","ERROR")</f>
        <v>OK</v>
      </c>
      <c r="O69" s="45" t="str" cm="1">
        <f t="array" ref="O69">IF(SUMPRODUCT(ABS(O62:O68))=0,"OK","ERROR")</f>
        <v>OK</v>
      </c>
    </row>
  </sheetData>
  <conditionalFormatting sqref="C14:O16">
    <cfRule type="cellIs" dxfId="17" priority="4" operator="lessThan">
      <formula>0</formula>
    </cfRule>
  </conditionalFormatting>
  <conditionalFormatting sqref="C22:O24">
    <cfRule type="cellIs" dxfId="16" priority="5" operator="lessThan">
      <formula>0</formula>
    </cfRule>
  </conditionalFormatting>
  <conditionalFormatting sqref="C28:O33">
    <cfRule type="cellIs" dxfId="15" priority="6" operator="lessThan">
      <formula>0</formula>
    </cfRule>
  </conditionalFormatting>
  <conditionalFormatting sqref="C35:O39">
    <cfRule type="cellIs" dxfId="14" priority="7" operator="lessThan">
      <formula>0</formula>
    </cfRule>
  </conditionalFormatting>
  <conditionalFormatting sqref="C42:O49">
    <cfRule type="cellIs" dxfId="13" priority="8" operator="lessThan">
      <formula>0</formula>
    </cfRule>
  </conditionalFormatting>
  <conditionalFormatting sqref="C51:O55">
    <cfRule type="cellIs" dxfId="12" priority="9" operator="lessThan">
      <formula>0</formula>
    </cfRule>
  </conditionalFormatting>
  <conditionalFormatting sqref="C58:O58">
    <cfRule type="cellIs" dxfId="11" priority="10" operator="lessThan">
      <formula>0</formula>
    </cfRule>
  </conditionalFormatting>
  <conditionalFormatting sqref="C62:O68">
    <cfRule type="cellIs" dxfId="10" priority="3" operator="notEqual">
      <formula>0</formula>
    </cfRule>
  </conditionalFormatting>
  <conditionalFormatting sqref="C69:O69">
    <cfRule type="containsText" dxfId="9" priority="1" operator="containsText" text="ERROR">
      <formula>NOT(ISERROR(SEARCH("ERROR",C69)))</formula>
    </cfRule>
    <cfRule type="containsText" dxfId="8" priority="2" operator="containsText" text="OK">
      <formula>NOT(ISERROR(SEARCH("OK",C69)))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30F-4570-466B-8BDA-72C21AF26970}">
  <dimension ref="B1:N59"/>
  <sheetViews>
    <sheetView showGridLines="0" tabSelected="1" topLeftCell="A25" zoomScale="78" workbookViewId="0">
      <selection activeCell="G59" sqref="G59"/>
    </sheetView>
  </sheetViews>
  <sheetFormatPr defaultRowHeight="14.5" x14ac:dyDescent="0.35"/>
  <cols>
    <col min="1" max="1" width="2.1796875" customWidth="1"/>
    <col min="2" max="2" width="60" style="3" customWidth="1"/>
    <col min="3" max="9" width="18.1796875" style="3" customWidth="1"/>
    <col min="10" max="14" width="18.1796875" customWidth="1"/>
  </cols>
  <sheetData>
    <row r="1" spans="2:6" ht="18.5" x14ac:dyDescent="0.45">
      <c r="B1" s="28" t="s">
        <v>157</v>
      </c>
    </row>
    <row r="3" spans="2:6" x14ac:dyDescent="0.35">
      <c r="B3" s="17" t="s">
        <v>168</v>
      </c>
      <c r="C3" s="51" t="s">
        <v>80</v>
      </c>
      <c r="D3" s="51" t="s">
        <v>81</v>
      </c>
      <c r="E3" s="51" t="s">
        <v>82</v>
      </c>
      <c r="F3" s="51" t="s">
        <v>83</v>
      </c>
    </row>
    <row r="4" spans="2:6" x14ac:dyDescent="0.35">
      <c r="B4" s="3" t="s">
        <v>46</v>
      </c>
      <c r="C4" s="32">
        <f>'Rolling Budget'!O10</f>
        <v>237000</v>
      </c>
      <c r="D4" s="32">
        <f>'Actuals &amp; Forecast'!O10</f>
        <v>242357.875</v>
      </c>
      <c r="E4" s="32">
        <f>(D4-C4)*1</f>
        <v>5357.875</v>
      </c>
      <c r="F4" s="45" t="str">
        <f>IF(E4&gt;0,"F","U")</f>
        <v>F</v>
      </c>
    </row>
    <row r="5" spans="2:6" x14ac:dyDescent="0.35">
      <c r="B5" s="3" t="s">
        <v>84</v>
      </c>
      <c r="C5" s="35">
        <f>'Rolling Budget'!O16</f>
        <v>286500000</v>
      </c>
      <c r="D5" s="35">
        <f>'Actuals &amp; Forecast'!O21</f>
        <v>296657594.5625</v>
      </c>
      <c r="E5" s="35">
        <f>(D5-C5)*1</f>
        <v>10157594.5625</v>
      </c>
      <c r="F5" s="45" t="str">
        <f t="shared" ref="F5:F10" si="0">IF(E5&gt;0,"F","U")</f>
        <v>F</v>
      </c>
    </row>
    <row r="6" spans="2:6" x14ac:dyDescent="0.35">
      <c r="B6" s="3" t="s">
        <v>85</v>
      </c>
      <c r="C6" s="35">
        <f>'Rolling Budget'!O24</f>
        <v>178380000</v>
      </c>
      <c r="D6" s="35">
        <f>'Actuals &amp; Forecast'!O46</f>
        <v>189255959.77559999</v>
      </c>
      <c r="E6" s="35">
        <f>(D6-C6)*-1</f>
        <v>-10875959.775599986</v>
      </c>
      <c r="F6" s="45" t="str">
        <f t="shared" si="0"/>
        <v>U</v>
      </c>
    </row>
    <row r="7" spans="2:6" x14ac:dyDescent="0.35">
      <c r="B7" s="3" t="s">
        <v>86</v>
      </c>
      <c r="C7" s="35">
        <f>'Rolling Budget'!O26</f>
        <v>108120000</v>
      </c>
      <c r="D7" s="35">
        <f>'Actuals &amp; Forecast'!O48</f>
        <v>107401634.78689998</v>
      </c>
      <c r="E7" s="35">
        <f>(D7-C7)*1</f>
        <v>-718365.21310001612</v>
      </c>
      <c r="F7" s="45" t="str">
        <f t="shared" si="0"/>
        <v>U</v>
      </c>
    </row>
    <row r="8" spans="2:6" x14ac:dyDescent="0.35">
      <c r="B8" s="3" t="s">
        <v>87</v>
      </c>
      <c r="C8" s="35">
        <f>'Rolling Budget'!O34</f>
        <v>77999999.999999985</v>
      </c>
      <c r="D8" s="35">
        <f>'Actuals &amp; Forecast'!O40</f>
        <v>79403000</v>
      </c>
      <c r="E8" s="35">
        <f>(D8-C8)*-1</f>
        <v>-1403000.0000000149</v>
      </c>
      <c r="F8" s="45" t="str">
        <f t="shared" si="0"/>
        <v>U</v>
      </c>
    </row>
    <row r="9" spans="2:6" x14ac:dyDescent="0.35">
      <c r="B9" s="37" t="s">
        <v>88</v>
      </c>
      <c r="C9" s="38">
        <f>'Rolling Budget'!O36</f>
        <v>30120000.000000004</v>
      </c>
      <c r="D9" s="38">
        <f>'Actuals &amp; Forecast'!O51</f>
        <v>27998634.786899988</v>
      </c>
      <c r="E9" s="38">
        <f>(D9-C9)*1</f>
        <v>-2121365.2131000161</v>
      </c>
      <c r="F9" s="52" t="str">
        <f t="shared" si="0"/>
        <v>U</v>
      </c>
    </row>
    <row r="10" spans="2:6" x14ac:dyDescent="0.35">
      <c r="B10" s="3" t="s">
        <v>54</v>
      </c>
      <c r="C10" s="15">
        <f>'Rolling Budget'!O37</f>
        <v>0.10513089005235604</v>
      </c>
      <c r="D10" s="15">
        <f>'Actuals &amp; Forecast'!O52</f>
        <v>9.4380306791711749E-2</v>
      </c>
      <c r="E10" s="15">
        <f>(D10-C10)*1</f>
        <v>-1.0750583260644292E-2</v>
      </c>
      <c r="F10" s="45" t="str">
        <f t="shared" si="0"/>
        <v>U</v>
      </c>
    </row>
    <row r="12" spans="2:6" x14ac:dyDescent="0.35">
      <c r="B12" s="17" t="s">
        <v>131</v>
      </c>
      <c r="C12" s="51" t="s">
        <v>89</v>
      </c>
      <c r="D12" s="51" t="s">
        <v>158</v>
      </c>
      <c r="E12" s="17"/>
      <c r="F12" s="17"/>
    </row>
    <row r="13" spans="2:6" x14ac:dyDescent="0.35">
      <c r="B13" s="13" t="s">
        <v>90</v>
      </c>
      <c r="C13" s="49">
        <f>'Rolling Budget'!O36</f>
        <v>30120000.000000004</v>
      </c>
      <c r="D13" s="13"/>
      <c r="E13" s="13"/>
      <c r="F13" s="13"/>
    </row>
    <row r="14" spans="2:6" x14ac:dyDescent="0.35">
      <c r="B14" s="3" t="s">
        <v>91</v>
      </c>
      <c r="C14" s="35">
        <f>'Sales Variances'!O46</f>
        <v>3480057.0624999851</v>
      </c>
      <c r="D14" s="45" t="str">
        <f>IF(C14&gt;0,"F","U")</f>
        <v>F</v>
      </c>
    </row>
    <row r="15" spans="2:6" x14ac:dyDescent="0.35">
      <c r="B15" s="3" t="s">
        <v>92</v>
      </c>
      <c r="C15" s="35">
        <f>'Sales Variances'!O47</f>
        <v>2508720.9999999995</v>
      </c>
      <c r="D15" s="45" t="str">
        <f t="shared" ref="D15:D23" si="1">IF(C15&gt;0,"F","U")</f>
        <v>F</v>
      </c>
    </row>
    <row r="16" spans="2:6" x14ac:dyDescent="0.35">
      <c r="B16" s="3" t="s">
        <v>154</v>
      </c>
      <c r="C16" s="35">
        <f>'Sales Variances'!O48</f>
        <v>64444.860759489995</v>
      </c>
      <c r="D16" s="45" t="str">
        <f t="shared" si="1"/>
        <v>F</v>
      </c>
    </row>
    <row r="17" spans="2:6" x14ac:dyDescent="0.35">
      <c r="B17" s="3" t="s">
        <v>155</v>
      </c>
      <c r="C17" s="35">
        <f>'Sales Variances'!O49</f>
        <v>2444276.1392405098</v>
      </c>
      <c r="D17" s="45" t="str">
        <f t="shared" si="1"/>
        <v>F</v>
      </c>
    </row>
    <row r="18" spans="2:6" x14ac:dyDescent="0.35">
      <c r="B18" s="3" t="s">
        <v>93</v>
      </c>
      <c r="C18" s="35">
        <f>'Overhead Variances'!O16</f>
        <v>-3951076.8129999973</v>
      </c>
      <c r="D18" s="45" t="str">
        <f t="shared" si="1"/>
        <v>U</v>
      </c>
    </row>
    <row r="19" spans="2:6" x14ac:dyDescent="0.35">
      <c r="B19" s="3" t="s">
        <v>94</v>
      </c>
      <c r="C19" s="35">
        <f>'Overhead Variances'!O22</f>
        <v>-728855.67990491167</v>
      </c>
      <c r="D19" s="45" t="str">
        <f t="shared" si="1"/>
        <v>U</v>
      </c>
    </row>
    <row r="20" spans="2:6" x14ac:dyDescent="0.35">
      <c r="B20" s="3" t="s">
        <v>95</v>
      </c>
      <c r="C20" s="35">
        <f>'Overhead Variances'!O23</f>
        <v>-1061283.579095091</v>
      </c>
      <c r="D20" s="45" t="str">
        <f t="shared" si="1"/>
        <v>U</v>
      </c>
    </row>
    <row r="21" spans="2:6" x14ac:dyDescent="0.35">
      <c r="B21" s="3" t="s">
        <v>96</v>
      </c>
      <c r="C21" s="35">
        <f>'Overhead Variances'!O31</f>
        <v>-510005.08359999978</v>
      </c>
      <c r="D21" s="45" t="str">
        <f t="shared" si="1"/>
        <v>U</v>
      </c>
    </row>
    <row r="22" spans="2:6" x14ac:dyDescent="0.35">
      <c r="B22" s="3" t="s">
        <v>97</v>
      </c>
      <c r="C22" s="35">
        <f>'Overhead Variances'!O32</f>
        <v>-455922.12000000023</v>
      </c>
      <c r="D22" s="45" t="str">
        <f t="shared" si="1"/>
        <v>U</v>
      </c>
    </row>
    <row r="23" spans="2:6" x14ac:dyDescent="0.35">
      <c r="B23" s="3" t="s">
        <v>98</v>
      </c>
      <c r="C23" s="35">
        <f>'Overhead Variances'!O45</f>
        <v>-1403000.0000000112</v>
      </c>
      <c r="D23" s="45" t="str">
        <f t="shared" si="1"/>
        <v>U</v>
      </c>
    </row>
    <row r="24" spans="2:6" x14ac:dyDescent="0.35">
      <c r="B24" s="37" t="s">
        <v>99</v>
      </c>
      <c r="C24" s="38">
        <f>C13+C14+C15+C18+C19+C20+C21+C22+C23</f>
        <v>27998634.786899973</v>
      </c>
      <c r="D24" s="48"/>
      <c r="E24" s="37"/>
      <c r="F24" s="37"/>
    </row>
    <row r="25" spans="2:6" x14ac:dyDescent="0.35">
      <c r="B25" s="26" t="s">
        <v>100</v>
      </c>
      <c r="C25" s="46">
        <f>ROUND(C24-'Actuals &amp; Forecast'!O51,0)</f>
        <v>0</v>
      </c>
      <c r="D25" s="50"/>
      <c r="E25" s="26"/>
      <c r="F25" s="26"/>
    </row>
    <row r="26" spans="2:6" x14ac:dyDescent="0.35">
      <c r="C26" s="35"/>
      <c r="D26" s="20"/>
    </row>
    <row r="27" spans="2:6" x14ac:dyDescent="0.35">
      <c r="B27" s="17" t="s">
        <v>161</v>
      </c>
      <c r="C27" s="53" t="s">
        <v>89</v>
      </c>
      <c r="D27" s="51" t="s">
        <v>83</v>
      </c>
      <c r="E27" s="17"/>
      <c r="F27" s="17"/>
    </row>
    <row r="28" spans="2:6" x14ac:dyDescent="0.35">
      <c r="B28" s="3" t="s">
        <v>101</v>
      </c>
      <c r="C28" s="35">
        <f>'Overhead Variances'!O44</f>
        <v>79820886.363636374</v>
      </c>
      <c r="D28" s="20"/>
    </row>
    <row r="29" spans="2:6" x14ac:dyDescent="0.35">
      <c r="B29" s="3" t="s">
        <v>76</v>
      </c>
      <c r="C29" s="35">
        <f>'Overhead Variances'!O42</f>
        <v>77999999.999999985</v>
      </c>
      <c r="D29" s="20"/>
    </row>
    <row r="30" spans="2:6" x14ac:dyDescent="0.35">
      <c r="B30" s="3" t="s">
        <v>102</v>
      </c>
      <c r="C30" s="35">
        <f>'Overhead Variances'!O46</f>
        <v>1820886.3636363773</v>
      </c>
      <c r="D30" s="45" t="str">
        <f t="shared" ref="D30:D31" si="2">IF(C30&gt;0,"F","U")</f>
        <v>F</v>
      </c>
    </row>
    <row r="31" spans="2:6" x14ac:dyDescent="0.35">
      <c r="B31" s="3" t="s">
        <v>159</v>
      </c>
      <c r="C31" s="35">
        <f>'Overhead Variances'!O47</f>
        <v>3547864.0909090927</v>
      </c>
      <c r="D31" s="45" t="str">
        <f t="shared" si="2"/>
        <v>F</v>
      </c>
    </row>
    <row r="32" spans="2:6" x14ac:dyDescent="0.35">
      <c r="B32" s="3" t="s">
        <v>160</v>
      </c>
      <c r="C32" s="35">
        <f>'Overhead Variances'!O48</f>
        <v>-1726977.7272727285</v>
      </c>
      <c r="D32" s="45" t="str">
        <f>IF(C32&gt;0,"F","U")</f>
        <v>U</v>
      </c>
    </row>
    <row r="34" spans="2:14" x14ac:dyDescent="0.35">
      <c r="B34" s="17" t="s">
        <v>162</v>
      </c>
      <c r="C34" s="17"/>
      <c r="D34" s="17"/>
      <c r="E34" s="17"/>
      <c r="F34" s="17"/>
    </row>
    <row r="35" spans="2:14" x14ac:dyDescent="0.35">
      <c r="B35" s="3" t="s">
        <v>163</v>
      </c>
    </row>
    <row r="36" spans="2:14" x14ac:dyDescent="0.35">
      <c r="B36" s="3" t="s">
        <v>164</v>
      </c>
    </row>
    <row r="37" spans="2:14" x14ac:dyDescent="0.35">
      <c r="B37" s="3" t="s">
        <v>169</v>
      </c>
    </row>
    <row r="38" spans="2:14" x14ac:dyDescent="0.35">
      <c r="B38" s="3" t="s">
        <v>165</v>
      </c>
    </row>
    <row r="39" spans="2:14" x14ac:dyDescent="0.35">
      <c r="B39" s="3" t="s">
        <v>166</v>
      </c>
    </row>
    <row r="40" spans="2:14" x14ac:dyDescent="0.35">
      <c r="B40" s="3" t="s">
        <v>167</v>
      </c>
    </row>
    <row r="42" spans="2:14" x14ac:dyDescent="0.35">
      <c r="B42" s="17" t="s">
        <v>103</v>
      </c>
      <c r="C42" s="54">
        <f>DATE(2026,4,1)</f>
        <v>46113</v>
      </c>
      <c r="D42" s="54">
        <f>EDATE(C42,1)</f>
        <v>46143</v>
      </c>
      <c r="E42" s="54">
        <f t="shared" ref="E42:M42" si="3">EDATE(D42,1)</f>
        <v>46174</v>
      </c>
      <c r="F42" s="54">
        <f t="shared" si="3"/>
        <v>46204</v>
      </c>
      <c r="G42" s="54">
        <f t="shared" si="3"/>
        <v>46235</v>
      </c>
      <c r="H42" s="54">
        <f t="shared" si="3"/>
        <v>46266</v>
      </c>
      <c r="I42" s="54">
        <f t="shared" si="3"/>
        <v>46296</v>
      </c>
      <c r="J42" s="54">
        <f t="shared" si="3"/>
        <v>46327</v>
      </c>
      <c r="K42" s="54">
        <f t="shared" si="3"/>
        <v>46357</v>
      </c>
      <c r="L42" s="54">
        <f t="shared" si="3"/>
        <v>46388</v>
      </c>
      <c r="M42" s="54">
        <f t="shared" si="3"/>
        <v>46419</v>
      </c>
      <c r="N42" s="54">
        <f>EDATE(M42,1)</f>
        <v>46447</v>
      </c>
    </row>
    <row r="43" spans="2:14" x14ac:dyDescent="0.35">
      <c r="B43" s="3" t="s">
        <v>80</v>
      </c>
      <c r="C43" s="35">
        <f>'Rolling Budget'!C36</f>
        <v>1609000.0000000009</v>
      </c>
      <c r="D43" s="35">
        <f>'Rolling Budget'!D36</f>
        <v>2059500.0000000009</v>
      </c>
      <c r="E43" s="35">
        <f>'Rolling Budget'!E36</f>
        <v>2510000.0000000009</v>
      </c>
      <c r="F43" s="35">
        <f>'Rolling Budget'!F36</f>
        <v>2960500.0000000009</v>
      </c>
      <c r="G43" s="35">
        <f>'Rolling Budget'!G36</f>
        <v>3411000.0000000009</v>
      </c>
      <c r="H43" s="35">
        <f>'Rolling Budget'!H36</f>
        <v>2960500.0000000009</v>
      </c>
      <c r="I43" s="35">
        <f>'Rolling Budget'!I36</f>
        <v>2059500.0000000009</v>
      </c>
      <c r="J43" s="1">
        <f>'Rolling Budget'!J36</f>
        <v>1609000.0000000009</v>
      </c>
      <c r="K43" s="1">
        <f>'Rolling Budget'!K36</f>
        <v>2059500.0000000009</v>
      </c>
      <c r="L43" s="1">
        <f>'Rolling Budget'!L36</f>
        <v>2960500.0000000009</v>
      </c>
      <c r="M43" s="1">
        <f>'Rolling Budget'!M36</f>
        <v>3411000.0000000009</v>
      </c>
      <c r="N43" s="1">
        <f>'Rolling Budget'!N36</f>
        <v>2510000.0000000009</v>
      </c>
    </row>
    <row r="44" spans="2:14" x14ac:dyDescent="0.35">
      <c r="B44" s="3" t="s">
        <v>1</v>
      </c>
      <c r="C44" s="35">
        <f>'Actuals &amp; Forecast'!C51</f>
        <v>1848002</v>
      </c>
      <c r="D44" s="35">
        <f>'Actuals &amp; Forecast'!D51</f>
        <v>2373596</v>
      </c>
      <c r="E44" s="35">
        <f>'Actuals &amp; Forecast'!E51</f>
        <v>1929632</v>
      </c>
      <c r="F44" s="35">
        <f>'Actuals &amp; Forecast'!F51</f>
        <v>3054609</v>
      </c>
      <c r="G44" s="35">
        <f>'Actuals &amp; Forecast'!G51</f>
        <v>3794048</v>
      </c>
      <c r="H44" s="35">
        <f>'Actuals &amp; Forecast'!H51</f>
        <v>2950729</v>
      </c>
      <c r="I44" s="35">
        <f>'Actuals &amp; Forecast'!I51</f>
        <v>1643696.2768999971</v>
      </c>
      <c r="J44" s="1">
        <f>'Actuals &amp; Forecast'!J51</f>
        <v>1206528.0518000014</v>
      </c>
      <c r="K44" s="1">
        <f>'Actuals &amp; Forecast'!K51</f>
        <v>1643696.2768999971</v>
      </c>
      <c r="L44" s="1">
        <f>'Actuals &amp; Forecast'!L51</f>
        <v>2518032.7270999961</v>
      </c>
      <c r="M44" s="1">
        <f>'Actuals &amp; Forecast'!M51</f>
        <v>2955200.9521999992</v>
      </c>
      <c r="N44" s="1">
        <f>'Actuals &amp; Forecast'!N51</f>
        <v>2080864.5019999966</v>
      </c>
    </row>
    <row r="45" spans="2:14" x14ac:dyDescent="0.35">
      <c r="B45" s="3" t="s">
        <v>82</v>
      </c>
      <c r="C45" s="35">
        <f t="shared" ref="C45:N45" si="4">C44-C43</f>
        <v>239001.99999999907</v>
      </c>
      <c r="D45" s="35">
        <f t="shared" si="4"/>
        <v>314095.99999999907</v>
      </c>
      <c r="E45" s="35">
        <f t="shared" si="4"/>
        <v>-580368.00000000093</v>
      </c>
      <c r="F45" s="35">
        <f t="shared" si="4"/>
        <v>94108.999999999069</v>
      </c>
      <c r="G45" s="35">
        <f t="shared" si="4"/>
        <v>383047.99999999907</v>
      </c>
      <c r="H45" s="35">
        <f t="shared" si="4"/>
        <v>-9771.0000000009313</v>
      </c>
      <c r="I45" s="35">
        <f t="shared" si="4"/>
        <v>-415803.72310000379</v>
      </c>
      <c r="J45" s="1">
        <f t="shared" si="4"/>
        <v>-402471.94819999952</v>
      </c>
      <c r="K45" s="1">
        <f t="shared" si="4"/>
        <v>-415803.72310000379</v>
      </c>
      <c r="L45" s="1">
        <f t="shared" si="4"/>
        <v>-442467.27290000487</v>
      </c>
      <c r="M45" s="1">
        <f t="shared" si="4"/>
        <v>-455799.04780000169</v>
      </c>
      <c r="N45" s="1">
        <f t="shared" si="4"/>
        <v>-429135.49800000433</v>
      </c>
    </row>
    <row r="47" spans="2:14" x14ac:dyDescent="0.35">
      <c r="B47" s="17" t="s">
        <v>104</v>
      </c>
      <c r="C47" s="17"/>
      <c r="D47" s="17"/>
      <c r="E47" s="17"/>
      <c r="F47" s="17"/>
    </row>
    <row r="48" spans="2:14" x14ac:dyDescent="0.35">
      <c r="B48" s="3" t="s">
        <v>105</v>
      </c>
      <c r="C48" s="35">
        <f>C14</f>
        <v>3480057.0624999851</v>
      </c>
    </row>
    <row r="49" spans="2:3" x14ac:dyDescent="0.35">
      <c r="B49" s="3" t="s">
        <v>106</v>
      </c>
      <c r="C49" s="35">
        <f>C15</f>
        <v>2508720.9999999995</v>
      </c>
    </row>
    <row r="50" spans="2:3" x14ac:dyDescent="0.35">
      <c r="B50" s="3" t="s">
        <v>48</v>
      </c>
      <c r="C50" s="35">
        <f t="shared" ref="C50:C55" si="5">C18</f>
        <v>-3951076.8129999973</v>
      </c>
    </row>
    <row r="51" spans="2:3" x14ac:dyDescent="0.35">
      <c r="B51" s="3" t="s">
        <v>107</v>
      </c>
      <c r="C51" s="35">
        <f t="shared" si="5"/>
        <v>-728855.67990491167</v>
      </c>
    </row>
    <row r="52" spans="2:3" x14ac:dyDescent="0.35">
      <c r="B52" s="3" t="s">
        <v>108</v>
      </c>
      <c r="C52" s="35">
        <f t="shared" si="5"/>
        <v>-1061283.579095091</v>
      </c>
    </row>
    <row r="53" spans="2:3" x14ac:dyDescent="0.35">
      <c r="B53" s="3" t="s">
        <v>109</v>
      </c>
      <c r="C53" s="35">
        <f t="shared" si="5"/>
        <v>-510005.08359999978</v>
      </c>
    </row>
    <row r="54" spans="2:3" x14ac:dyDescent="0.35">
      <c r="B54" s="3" t="s">
        <v>110</v>
      </c>
      <c r="C54" s="35">
        <f t="shared" si="5"/>
        <v>-455922.12000000023</v>
      </c>
    </row>
    <row r="55" spans="2:3" x14ac:dyDescent="0.35">
      <c r="B55" s="3" t="s">
        <v>111</v>
      </c>
      <c r="C55" s="35">
        <f t="shared" si="5"/>
        <v>-1403000.0000000112</v>
      </c>
    </row>
    <row r="56" spans="2:3" x14ac:dyDescent="0.35">
      <c r="B56" s="3" t="s">
        <v>115</v>
      </c>
      <c r="C56" s="20" t="str">
        <f>'Overhead Variances'!O69</f>
        <v>OK</v>
      </c>
    </row>
    <row r="57" spans="2:3" x14ac:dyDescent="0.35">
      <c r="B57" s="3" t="s">
        <v>116</v>
      </c>
      <c r="C57" s="20" t="str">
        <f>IF(COUNTIF('Overhead Variances'!C69:N69,"ERROR")=0,"OK","ERROR")</f>
        <v>OK</v>
      </c>
    </row>
    <row r="58" spans="2:3" x14ac:dyDescent="0.35">
      <c r="B58" s="3" t="s">
        <v>117</v>
      </c>
      <c r="C58" s="20" t="str">
        <f>IF(COUNTIF('Sales Variances'!C59:N59,"ERROR")=0,"OK","ERROR")</f>
        <v>OK</v>
      </c>
    </row>
    <row r="59" spans="2:3" x14ac:dyDescent="0.35">
      <c r="B59" s="13" t="s">
        <v>132</v>
      </c>
      <c r="C59" s="45" t="str">
        <f>IF(COUNTIF(C56:C58,"ERROR")=0,"ALL CHECKS PASS",COUNTIF(C56:C58,"ERROR")&amp;" CHECKS FAILED")</f>
        <v>ALL CHECKS PASS</v>
      </c>
    </row>
  </sheetData>
  <conditionalFormatting sqref="C14:C32">
    <cfRule type="cellIs" dxfId="7" priority="2" operator="lessThan">
      <formula>0</formula>
    </cfRule>
  </conditionalFormatting>
  <conditionalFormatting sqref="C48:C55">
    <cfRule type="cellIs" dxfId="6" priority="4" operator="lessThan">
      <formula>0</formula>
    </cfRule>
  </conditionalFormatting>
  <conditionalFormatting sqref="C56:C59">
    <cfRule type="containsText" dxfId="5" priority="5" operator="containsText" text="ERROR">
      <formula>NOT(ISERROR(SEARCH("ERROR",C56)))</formula>
    </cfRule>
    <cfRule type="containsText" dxfId="4" priority="6" operator="containsText" text="FAILED">
      <formula>NOT(ISERROR(SEARCH("FAILED",C56)))</formula>
    </cfRule>
    <cfRule type="containsText" dxfId="3" priority="7" operator="containsText" text="OK">
      <formula>NOT(ISERROR(SEARCH("OK",C56)))</formula>
    </cfRule>
    <cfRule type="containsText" dxfId="2" priority="8" operator="containsText" text="PASS">
      <formula>NOT(ISERROR(SEARCH("PASS",C56)))</formula>
    </cfRule>
  </conditionalFormatting>
  <conditionalFormatting sqref="C43:N45">
    <cfRule type="cellIs" dxfId="1" priority="3" operator="lessThan">
      <formula>0</formula>
    </cfRule>
  </conditionalFormatting>
  <conditionalFormatting sqref="E4:E10">
    <cfRule type="cellIs" dxfId="0" priority="1" operator="lessThan">
      <formula>0</formula>
    </cfRule>
  </conditionalFormatting>
  <pageMargins left="0.7" right="0.7" top="0.75" bottom="0.75" header="0.3" footer="0.3"/>
  <ignoredErrors>
    <ignoredError sqref="E6:E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Rolling Budget</vt:lpstr>
      <vt:lpstr>Actuals &amp; Forecast</vt:lpstr>
      <vt:lpstr>Sales Variances</vt:lpstr>
      <vt:lpstr>Overhead Variances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 K</dc:creator>
  <cp:lastModifiedBy>Risha K</cp:lastModifiedBy>
  <dcterms:created xsi:type="dcterms:W3CDTF">2026-09-15T14:26:50Z</dcterms:created>
  <dcterms:modified xsi:type="dcterms:W3CDTF">2026-10-12T10:19:29Z</dcterms:modified>
</cp:coreProperties>
</file>